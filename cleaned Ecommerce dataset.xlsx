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F3FA8AF1-1B14-419E-BE9C-CADF38D98414}" xr6:coauthVersionLast="47" xr6:coauthVersionMax="47" xr10:uidLastSave="{00000000-0000-0000-0000-000000000000}"/>
  <bookViews>
    <workbookView xWindow="-120" yWindow="-120" windowWidth="20730" windowHeight="11160" activeTab="3" xr2:uid="{0228145B-7942-4CEC-9141-4B36A411A24C}"/>
  </bookViews>
  <sheets>
    <sheet name="pivot tables" sheetId="6" r:id="rId1"/>
    <sheet name="cleaned dataset" sheetId="1" r:id="rId2"/>
    <sheet name="statstical meaure" sheetId="2" r:id="rId3"/>
    <sheet name="dashboard" sheetId="3" r:id="rId4"/>
  </sheets>
  <definedNames>
    <definedName name="Slicer_Category1">#N/A</definedName>
    <definedName name="Slicer_Price_Range">#N/A</definedName>
    <definedName name="Slicer_Stock_Status">#N/A</definedName>
  </definedNames>
  <calcPr calcId="181029"/>
  <pivotCaches>
    <pivotCache cacheId="1" r:id="rId5"/>
    <pivotCache cacheId="11" r:id="rId6"/>
    <pivotCache cacheId="3" r:id="rId7"/>
    <pivotCache cacheId="4" r:id="rId8"/>
    <pivotCache cacheId="2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2" i="2"/>
  <c r="K2" i="1"/>
  <c r="J2" i="1"/>
  <c r="I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alcChain>
</file>

<file path=xl/sharedStrings.xml><?xml version="1.0" encoding="utf-8"?>
<sst xmlns="http://schemas.openxmlformats.org/spreadsheetml/2006/main" count="591" uniqueCount="366">
  <si>
    <t>Product_ID</t>
  </si>
  <si>
    <t>Category</t>
  </si>
  <si>
    <t>Sub_Category</t>
  </si>
  <si>
    <t>Brand</t>
  </si>
  <si>
    <t>Cost</t>
  </si>
  <si>
    <t>Stock</t>
  </si>
  <si>
    <t>PROD0</t>
  </si>
  <si>
    <t>Brother Laser Printer</t>
  </si>
  <si>
    <t>Electronics</t>
  </si>
  <si>
    <t>Computer</t>
  </si>
  <si>
    <t>Hunt Inc</t>
  </si>
  <si>
    <t>PROD1</t>
  </si>
  <si>
    <t>Clothing</t>
  </si>
  <si>
    <t>Tops</t>
  </si>
  <si>
    <t>Terry-Moore</t>
  </si>
  <si>
    <t>PROD2</t>
  </si>
  <si>
    <t>Outerwear</t>
  </si>
  <si>
    <t>Sims Inc</t>
  </si>
  <si>
    <t>Pineda Ltd</t>
  </si>
  <si>
    <t>PROD4</t>
  </si>
  <si>
    <t>Bottoms</t>
  </si>
  <si>
    <t>Gonzales-Davis</t>
  </si>
  <si>
    <t>PROD5</t>
  </si>
  <si>
    <t>Accessories</t>
  </si>
  <si>
    <t>PROD6</t>
  </si>
  <si>
    <t>Herbal Face Moisturizer</t>
  </si>
  <si>
    <t>Beauty</t>
  </si>
  <si>
    <t>Skincare</t>
  </si>
  <si>
    <t>PROD7</t>
  </si>
  <si>
    <t>Home</t>
  </si>
  <si>
    <t>Lighting</t>
  </si>
  <si>
    <t>PROD8</t>
  </si>
  <si>
    <t>Wireless Bluetooth Earbuds</t>
  </si>
  <si>
    <t>Audio</t>
  </si>
  <si>
    <t>Perez-Johnston</t>
  </si>
  <si>
    <t>PROD9</t>
  </si>
  <si>
    <t>Adjustable Dumbbell Set</t>
  </si>
  <si>
    <t>Sports</t>
  </si>
  <si>
    <t>Fitness</t>
  </si>
  <si>
    <t>PROD10</t>
  </si>
  <si>
    <t>Ceramic Kitchen Bowl Set</t>
  </si>
  <si>
    <t>Kitchen</t>
  </si>
  <si>
    <t>Hamilton Group</t>
  </si>
  <si>
    <t>PROD11</t>
  </si>
  <si>
    <t>PROD12</t>
  </si>
  <si>
    <t>Hair Strengthening Shampoo</t>
  </si>
  <si>
    <t>Haircare</t>
  </si>
  <si>
    <t>PROD13</t>
  </si>
  <si>
    <t>Dawson-Perkins</t>
  </si>
  <si>
    <t>PROD14</t>
  </si>
  <si>
    <t>Decorative Wall Mirror</t>
  </si>
  <si>
    <t>Decor</t>
  </si>
  <si>
    <t>PROD15</t>
  </si>
  <si>
    <t>4K Home Projector</t>
  </si>
  <si>
    <t>Appliances</t>
  </si>
  <si>
    <t>Beard Grooming Kit</t>
  </si>
  <si>
    <t>Grooming</t>
  </si>
  <si>
    <t>Erickson-Green</t>
  </si>
  <si>
    <t>PROD17</t>
  </si>
  <si>
    <t>Soccer Training Cone Set</t>
  </si>
  <si>
    <t>PROD18</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</si>
  <si>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</si>
  <si>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</si>
  <si>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</si>
  <si>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</si>
  <si>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</si>
  <si>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</si>
  <si>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</si>
  <si>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</si>
  <si>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</si>
  <si>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</si>
  <si>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</si>
  <si>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</si>
  <si>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</si>
  <si>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</si>
  <si>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PROD23</t>
  </si>
  <si>
    <t>PROD24</t>
  </si>
  <si>
    <t>Foldable Camping Chair</t>
  </si>
  <si>
    <t>Outdoor</t>
  </si>
  <si>
    <t>Cook Ltd</t>
  </si>
  <si>
    <t>PROD25</t>
  </si>
  <si>
    <t>PROD26</t>
  </si>
  <si>
    <t>Wireless Bluetooth Speaker</t>
  </si>
  <si>
    <t>Reed-Schmidt</t>
  </si>
  <si>
    <t>PROD27</t>
  </si>
  <si>
    <t>Decorative Floor Vase</t>
  </si>
  <si>
    <t>PROD28</t>
  </si>
  <si>
    <t>Sports Stopwatch Timer</t>
  </si>
  <si>
    <t>Burns-Hansen</t>
  </si>
  <si>
    <t>PROD29</t>
  </si>
  <si>
    <t>Fabric Sofa Throw Blanket</t>
  </si>
  <si>
    <t>Hoffman Group</t>
  </si>
  <si>
    <t>PROD30</t>
  </si>
  <si>
    <t>Stainless Steel Cutlery Set</t>
  </si>
  <si>
    <t>PROD31</t>
  </si>
  <si>
    <t>Basketball</t>
  </si>
  <si>
    <t>Team Sports</t>
  </si>
  <si>
    <t>Nolan-Snow</t>
  </si>
  <si>
    <t>PROD32</t>
  </si>
  <si>
    <t>Vitamin C Face Serum</t>
  </si>
  <si>
    <t>Griffin Ltd</t>
  </si>
  <si>
    <t>PROD33</t>
  </si>
  <si>
    <t>Modern Wall Clock</t>
  </si>
  <si>
    <t>Weiss-Watson</t>
  </si>
  <si>
    <t>PROD34</t>
  </si>
  <si>
    <t>Gaming Mechanical Keyboard</t>
  </si>
  <si>
    <t>PROD35</t>
  </si>
  <si>
    <t>Bedroom Table Lamp</t>
  </si>
  <si>
    <t>PROD36</t>
  </si>
  <si>
    <t>Smith-Mills</t>
  </si>
  <si>
    <t>PROD37</t>
  </si>
  <si>
    <t>Footwear</t>
  </si>
  <si>
    <t>Hogan-Lee</t>
  </si>
  <si>
    <t>PROD38</t>
  </si>
  <si>
    <t>Sports Water Hydration Pack</t>
  </si>
  <si>
    <t>Sims-Smith</t>
  </si>
  <si>
    <t>PROD39</t>
  </si>
  <si>
    <t>Portable Power Bank</t>
  </si>
  <si>
    <t>Mobile</t>
  </si>
  <si>
    <t>PROD40</t>
  </si>
  <si>
    <t>Noise-Canceling Headphones</t>
  </si>
  <si>
    <t>Taylor-Hart</t>
  </si>
  <si>
    <t>PROD41</t>
  </si>
  <si>
    <t>Yoga Exercise Mat</t>
  </si>
  <si>
    <t>PROD42</t>
  </si>
  <si>
    <t>PROD43</t>
  </si>
  <si>
    <t>Robinson Inc</t>
  </si>
  <si>
    <t>PROD44</t>
  </si>
  <si>
    <t>Adjustable Jump Rope</t>
  </si>
  <si>
    <t>Cox Inc</t>
  </si>
  <si>
    <t>PROD45</t>
  </si>
  <si>
    <t>High-Grip Football</t>
  </si>
  <si>
    <t>PROD46</t>
  </si>
  <si>
    <t>PROD47</t>
  </si>
  <si>
    <t>Makeup Brush Set</t>
  </si>
  <si>
    <t>Makeup</t>
  </si>
  <si>
    <t>Cook Inc</t>
  </si>
  <si>
    <t>PROD48</t>
  </si>
  <si>
    <t>Car Dashboard Phone Holder</t>
  </si>
  <si>
    <t>PROD49</t>
  </si>
  <si>
    <t>Fragrance</t>
  </si>
  <si>
    <t>PROD50</t>
  </si>
  <si>
    <t>Boxing Hand Wraps</t>
  </si>
  <si>
    <t>Smith-King</t>
  </si>
  <si>
    <t>PROD51</t>
  </si>
  <si>
    <t>PROD52</t>
  </si>
  <si>
    <t>Rugby Ball</t>
  </si>
  <si>
    <t>Harris Inc</t>
  </si>
  <si>
    <t>PROD53</t>
  </si>
  <si>
    <t>PROD54</t>
  </si>
  <si>
    <t>Sports Stopwatch Pro</t>
  </si>
  <si>
    <t>Thompson-French</t>
  </si>
  <si>
    <t>PROD55</t>
  </si>
  <si>
    <t>Ceramic Plant Pot</t>
  </si>
  <si>
    <t>PROD56</t>
  </si>
  <si>
    <t>Premium Blanket Throw</t>
  </si>
  <si>
    <t>PROD57</t>
  </si>
  <si>
    <t>Foam Roller</t>
  </si>
  <si>
    <t>PROD58</t>
  </si>
  <si>
    <t>Womens Cotton Scarf</t>
  </si>
  <si>
    <t>Shepherd-Gould</t>
  </si>
  <si>
    <t>PROD59</t>
  </si>
  <si>
    <t>Cline-Mccarthy</t>
  </si>
  <si>
    <t>PROD60</t>
  </si>
  <si>
    <t>Luxury Perfume Spray</t>
  </si>
  <si>
    <t>PROD61</t>
  </si>
  <si>
    <t>Tennis Ball 3-Pack</t>
  </si>
  <si>
    <t>PROD62</t>
  </si>
  <si>
    <t>Laptop Cooling Pad</t>
  </si>
  <si>
    <t>PROD63</t>
  </si>
  <si>
    <t>Organic Sunscreen Lotion</t>
  </si>
  <si>
    <t>Anderson-Riley</t>
  </si>
  <si>
    <t>PROD64</t>
  </si>
  <si>
    <t>Matte Lipstick Set</t>
  </si>
  <si>
    <t>Zhang Inc</t>
  </si>
  <si>
    <t>PROD65</t>
  </si>
  <si>
    <t>PROD66</t>
  </si>
  <si>
    <t>PROD67</t>
  </si>
  <si>
    <t>Flores-Davis</t>
  </si>
  <si>
    <t>PROD68</t>
  </si>
  <si>
    <t>Wooden Nightstand</t>
  </si>
  <si>
    <t>Furniture</t>
  </si>
  <si>
    <t>PROD69</t>
  </si>
  <si>
    <t>Fitzpatrick Ltd</t>
  </si>
  <si>
    <t>PROD70</t>
  </si>
  <si>
    <t>Kitchen Storage Rack</t>
  </si>
  <si>
    <t>Duran Group</t>
  </si>
  <si>
    <t>PROD71</t>
  </si>
  <si>
    <t>Hair Repair Oil Treatment</t>
  </si>
  <si>
    <t>Hopkins Ltd</t>
  </si>
  <si>
    <t>PROD72</t>
  </si>
  <si>
    <t>Professional Jump Rope</t>
  </si>
  <si>
    <t>PROD73</t>
  </si>
  <si>
    <t>Shin Guards – Adult</t>
  </si>
  <si>
    <t>French Ltd</t>
  </si>
  <si>
    <t>PROD74</t>
  </si>
  <si>
    <t>Bluetooth Car Audio System</t>
  </si>
  <si>
    <t>Bruce-Bowen</t>
  </si>
  <si>
    <t>PROD75</t>
  </si>
  <si>
    <t>PROD76</t>
  </si>
  <si>
    <t>Wireless Mouse</t>
  </si>
  <si>
    <t>Larson Ltd</t>
  </si>
  <si>
    <t>PROD77</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</si>
  <si>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</si>
  <si>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</si>
  <si>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</si>
  <si>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</si>
  <si>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</si>
  <si>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</si>
  <si>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</si>
  <si>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</si>
  <si>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</si>
  <si>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</si>
  <si>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</si>
  <si>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</si>
  <si>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</si>
  <si>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</si>
  <si>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</si>
  <si>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</si>
  <si>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</si>
  <si>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</si>
  <si>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</si>
  <si>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</si>
  <si>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</si>
  <si>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</si>
  <si>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Richardson-Carrillo</t>
  </si>
  <si>
    <t>PROD86</t>
  </si>
  <si>
    <t>Kitchen Cutting Board</t>
  </si>
  <si>
    <t>PROD87</t>
  </si>
  <si>
    <t>PROD88</t>
  </si>
  <si>
    <t>Sports Wrist Sweatbands</t>
  </si>
  <si>
    <t>Olsen-Daniels</t>
  </si>
  <si>
    <t>PROD89</t>
  </si>
  <si>
    <t>Face Foundation Kit</t>
  </si>
  <si>
    <t>Taylor-Elliott</t>
  </si>
  <si>
    <t>PROD90</t>
  </si>
  <si>
    <t>PROD91</t>
  </si>
  <si>
    <t>Smith-Charles</t>
  </si>
  <si>
    <t>PROD92</t>
  </si>
  <si>
    <t>Microwave Oven</t>
  </si>
  <si>
    <t>PROD93</t>
  </si>
  <si>
    <t>PROD94</t>
  </si>
  <si>
    <t>Vitamin E Body Lotion</t>
  </si>
  <si>
    <t>Hoffman-Williams</t>
  </si>
  <si>
    <t>PROD95</t>
  </si>
  <si>
    <t>Sports Stopwatch Basic</t>
  </si>
  <si>
    <t>Wilson Group</t>
  </si>
  <si>
    <t>PROD96</t>
  </si>
  <si>
    <t>PROD97</t>
  </si>
  <si>
    <t>Cricket Bat</t>
  </si>
  <si>
    <t>PROD98</t>
  </si>
  <si>
    <t>Portable Bluetooth Speaker</t>
  </si>
  <si>
    <t>Flores-King</t>
  </si>
  <si>
    <t>PROD99</t>
  </si>
  <si>
    <t>Stainless Steel Cookware Set</t>
  </si>
  <si>
    <t>Campbell Ltd</t>
  </si>
  <si>
    <t>Product_name</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</si>
  <si>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</si>
  <si>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</si>
  <si>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</si>
  <si>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</si>
  <si>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</si>
  <si>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</si>
  <si>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</si>
  <si>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</si>
  <si>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</si>
  <si>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</si>
  <si>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</si>
  <si>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</si>
  <si>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</si>
  <si>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</si>
  <si>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</si>
  <si>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</si>
  <si>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</si>
  <si>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</si>
  <si>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</si>
  <si>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</si>
  <si>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</si>
  <si>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</si>
  <si>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</si>
  <si>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</si>
  <si>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</si>
  <si>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</si>
  <si>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</si>
  <si>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</si>
  <si>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</si>
  <si>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</si>
  <si>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</si>
  <si>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</si>
  <si>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</si>
  <si>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</si>
  <si>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</si>
  <si>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</si>
  <si>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</si>
  <si>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</si>
  <si>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</si>
  <si>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</si>
  <si>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</si>
  <si>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</si>
  <si>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</si>
  <si>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</si>
  <si>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</si>
  <si>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</si>
  <si>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</si>
  <si>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</si>
  <si>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</si>
  <si>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</si>
  <si>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</si>
  <si>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</si>
  <si>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</si>
  <si>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</si>
  <si>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</si>
  <si>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</si>
  <si>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</si>
  <si>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</si>
  <si>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</si>
  <si>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</si>
  <si>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</si>
  <si>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</si>
  <si>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</si>
  <si>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</si>
  <si>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</si>
  <si>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</si>
  <si>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</si>
  <si>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</si>
  <si>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</si>
  <si>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</si>
  <si>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</si>
  <si>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</si>
  <si>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</si>
  <si>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</si>
  <si>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</si>
  <si>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</si>
  <si>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Stock Status</t>
  </si>
  <si>
    <t>Total Inventory Value</t>
  </si>
  <si>
    <t>Price Range</t>
  </si>
  <si>
    <t>Estimate price</t>
  </si>
  <si>
    <t>PROD3</t>
  </si>
  <si>
    <t>PROD16</t>
  </si>
  <si>
    <t>Mean</t>
  </si>
  <si>
    <t>Standard Error</t>
  </si>
  <si>
    <t>Median</t>
  </si>
  <si>
    <t>Mode</t>
  </si>
  <si>
    <t>Standard Deviation</t>
  </si>
  <si>
    <t>Sample Variance</t>
  </si>
  <si>
    <t>Kurtosis</t>
  </si>
  <si>
    <t>Skewness</t>
  </si>
  <si>
    <t>Range</t>
  </si>
  <si>
    <t>Minimum</t>
  </si>
  <si>
    <t>Maximum</t>
  </si>
  <si>
    <t>Sum</t>
  </si>
  <si>
    <t>Count</t>
  </si>
  <si>
    <t>Data tool pak</t>
  </si>
  <si>
    <t>Statistical summary</t>
  </si>
  <si>
    <t>Row Labels</t>
  </si>
  <si>
    <t>Sum of Cost</t>
  </si>
  <si>
    <t>Grand Total</t>
  </si>
  <si>
    <t>Sum of Stock</t>
  </si>
  <si>
    <t>Low Budget</t>
  </si>
  <si>
    <t>Mid range</t>
  </si>
  <si>
    <t>premium</t>
  </si>
  <si>
    <t>Sum of Estimate price</t>
  </si>
  <si>
    <t>Sum of Total Inventory Value</t>
  </si>
  <si>
    <t>Column Labels</t>
  </si>
  <si>
    <t>Available</t>
  </si>
  <si>
    <t>Count of 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</si>
</sst>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name val="Calibri"/>
    </font>
    <font>
      <b/>
      <sz val="11"/>
      <name val="Calibri"/>
      <family val="2"/>
    </font>
    <font>
      <sz val="11"/>
      <color rgb="FFFF0000"/>
      <name val="Calibri"/>
      <family val="2"/>
      <scheme val="minor"/>
    </font>
    <font>
      <i/>
      <sz val="11"/>
      <color theme="1"/>
      <name val="Calibri"/>
      <family val="2"/>
      <scheme val="minor"/>
    </font>
    <font>
      <sz val="11"/>
      <color theme="7"/>
      <name val="Calibri"/>
      <family val="2"/>
      <scheme val="minor"/>
    </font>
    <font>
      <sz val="11"/>
      <color theme="4"/>
      <name val="Calibri"/>
      <family val="2"/>
      <scheme val="minor"/>
    </font>
  </fonts>
  <fills count="4">
    <fill>
      <patternFill patternType="none"/>
    </fill>
    <fill>
      <patternFill patternType="gray125"/>
    </fill>
    <fill>
      <patternFill patternType="solid">
        <fgColor theme="4"/>
        <bgColor theme="4"/>
      </patternFill>
    </fill>
    <fill>
      <patternFill patternType="solid">
        <fgColor theme="3"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2">
    <xf numFmtId="0" fontId="0" fillId="0" borderId="0" xfId="0"/>
    <xf numFmtId="2" fontId="0" fillId="0" borderId="0" xfId="0" applyNumberFormat="1"/>
    <xf numFmtId="0" fontId="1" fillId="0" borderId="0" xfId="0" applyFont="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2" fontId="1" fillId="0" borderId="2" xfId="0" applyNumberFormat="1" applyFont="1" applyBorder="1" applyAlignment="1">
      <alignment horizontal="center" vertical="top"/>
    </xf>
    <xf numFmtId="49" fontId="1" fillId="0" borderId="2" xfId="0" applyNumberFormat="1" applyFont="1" applyBorder="1" applyAlignment="1">
      <alignment horizontal="center" vertical="top"/>
    </xf>
    <xf numFmtId="164" fontId="1" fillId="0" borderId="0" xfId="0" applyNumberFormat="1" applyFont="1" applyAlignment="1">
      <alignment horizontal="center" vertical="top"/>
    </xf>
    <xf numFmtId="164" fontId="0" fillId="0" borderId="0" xfId="0" applyNumberFormat="1"/>
    <xf numFmtId="164" fontId="1" fillId="0" borderId="1" xfId="0" applyNumberFormat="1" applyFont="1" applyBorder="1" applyAlignment="1">
      <alignment horizontal="center" vertical="top"/>
    </xf>
    <xf numFmtId="49" fontId="2" fillId="0" borderId="0" xfId="0" applyNumberFormat="1" applyFont="1" applyAlignment="1">
      <alignment horizontal="center" vertical="top"/>
    </xf>
    <xf numFmtId="2" fontId="1" fillId="0" borderId="1" xfId="0" applyNumberFormat="1" applyFont="1" applyBorder="1" applyAlignment="1">
      <alignment horizontal="center" vertical="top"/>
    </xf>
    <xf numFmtId="164" fontId="2" fillId="2" borderId="3" xfId="0" applyNumberFormat="1" applyFont="1" applyFill="1" applyBorder="1" applyAlignment="1">
      <alignment horizontal="center" vertical="top"/>
    </xf>
    <xf numFmtId="0" fontId="4" fillId="0" borderId="5" xfId="0" applyFont="1" applyBorder="1" applyAlignment="1">
      <alignment horizontal="center"/>
    </xf>
    <xf numFmtId="0" fontId="5" fillId="0" borderId="0" xfId="0" applyFont="1"/>
    <xf numFmtId="0" fontId="6" fillId="0" borderId="0" xfId="0" applyFont="1"/>
    <xf numFmtId="0" fontId="3" fillId="0" borderId="4" xfId="0" applyFont="1" applyBorder="1"/>
    <xf numFmtId="49" fontId="2"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15">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64" formatCode="&quot;₹&quot;\ #,##0.00"/>
    </dxf>
    <dxf>
      <numFmt numFmtId="30" formatCode="@"/>
    </dxf>
    <dxf>
      <numFmt numFmtId="30" formatCode="@"/>
    </dxf>
    <dxf>
      <numFmt numFmtId="2" formatCode="0.00"/>
    </dxf>
    <dxf>
      <numFmt numFmtId="164" formatCode="&quot;₹&quot;\ #,##0.00"/>
    </dxf>
    <dxf>
      <numFmt numFmtId="164" formatCode="&quot;₹&quot;\ #,##0.00"/>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Low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tables'!$F$13:$F$14</c:f>
              <c:strCache>
                <c:ptCount val="1"/>
                <c:pt idx="0">
                  <c:v>Available</c:v>
                </c:pt>
              </c:strCache>
            </c:strRef>
          </c:cat>
          <c:val>
            <c:numRef>
              <c:f>'pivot tables'!$G$13:$G$14</c:f>
              <c:numCache>
                <c:formatCode>General</c:formatCode>
                <c:ptCount val="1"/>
                <c:pt idx="0">
                  <c:v>28</c:v>
                </c:pt>
              </c:numCache>
            </c:numRef>
          </c:val>
          <c:extLst>
            <c:ext xmlns:c16="http://schemas.microsoft.com/office/drawing/2014/chart" uri="{C3380CC4-5D6E-409C-BE32-E72D297353CC}">
              <c16:uniqueId val="{00000000-21DF-40C5-8B67-6175954EAEB5}"/>
            </c:ext>
          </c:extLst>
        </c:ser>
        <c:ser>
          <c:idx val="1"/>
          <c:order val="1"/>
          <c:tx>
            <c:strRef>
              <c:f>'pivot tables'!$H$11:$H$12</c:f>
              <c:strCache>
                <c:ptCount val="1"/>
                <c:pt idx="0">
                  <c:v>Mid range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tables'!$F$13:$F$14</c:f>
              <c:strCache>
                <c:ptCount val="1"/>
                <c:pt idx="0">
                  <c:v>Available</c:v>
                </c:pt>
              </c:strCache>
            </c:strRef>
          </c:cat>
          <c:val>
            <c:numRef>
              <c:f>'pivot tables'!$H$13:$H$14</c:f>
              <c:numCache>
                <c:formatCode>General</c:formatCode>
                <c:ptCount val="1"/>
                <c:pt idx="0">
                  <c:v>24</c:v>
                </c:pt>
              </c:numCache>
            </c:numRef>
          </c:val>
          <c:extLst>
            <c:ext xmlns:c16="http://schemas.microsoft.com/office/drawing/2014/chart" uri="{C3380CC4-5D6E-409C-BE32-E72D297353CC}">
              <c16:uniqueId val="{00000001-21DF-40C5-8B67-6175954EAEB5}"/>
            </c:ext>
          </c:extLst>
        </c:ser>
        <c:ser>
          <c:idx val="2"/>
          <c:order val="2"/>
          <c:tx>
            <c:strRef>
              <c:f>'pivot tables'!$I$11:$I$12</c:f>
              <c:strCache>
                <c:ptCount val="1"/>
                <c:pt idx="0">
                  <c:v>premium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cat>
            <c:strRef>
              <c:f>'pivot tables'!$F$13:$F$14</c:f>
              <c:strCache>
                <c:ptCount val="1"/>
                <c:pt idx="0">
                  <c:v>Available</c:v>
                </c:pt>
              </c:strCache>
            </c:strRef>
          </c:cat>
          <c:val>
            <c:numRef>
              <c:f>'pivot tables'!$I$13:$I$14</c:f>
              <c:numCache>
                <c:formatCode>General</c:formatCode>
                <c:ptCount val="1"/>
                <c:pt idx="0">
                  <c:v>36</c:v>
                </c:pt>
              </c:numCache>
            </c:numRef>
          </c:val>
          <c:extLst>
            <c:ext xmlns:c16="http://schemas.microsoft.com/office/drawing/2014/chart" uri="{C3380CC4-5D6E-409C-BE32-E72D297353CC}">
              <c16:uniqueId val="{00000002-21DF-40C5-8B67-6175954EAEB5}"/>
            </c:ext>
          </c:extLst>
        </c:ser>
        <c:dLbls>
          <c:dLblPos val="outEnd"/>
          <c:showLegendKey val="0"/>
          <c:showVal val="1"/>
          <c:showCatName val="0"/>
          <c:showSerName val="0"/>
          <c:showPercent val="0"/>
          <c:showBubbleSize val="0"/>
        </c:dLbls>
        <c:gapWidth val="219"/>
        <c:overlap val="-27"/>
        <c:axId val="1959441600"/>
        <c:axId val="1959451200"/>
      </c:barChart>
      <c:catAx>
        <c:axId val="19594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51200"/>
        <c:crosses val="autoZero"/>
        <c:auto val="1"/>
        <c:lblAlgn val="ctr"/>
        <c:lblOffset val="100"/>
        <c:noMultiLvlLbl val="0"/>
      </c:catAx>
      <c:valAx>
        <c:axId val="19594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4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vs sum of stock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Low Budget</c:v>
                </c:pt>
                <c:pt idx="1">
                  <c:v>Mid range</c:v>
                </c:pt>
                <c:pt idx="2">
                  <c:v>premium</c:v>
                </c:pt>
              </c:strCache>
            </c:strRef>
          </c:cat>
          <c:val>
            <c:numRef>
              <c:f>'pivot tables'!$E$4:$E$7</c:f>
              <c:numCache>
                <c:formatCode>"₹"\ #,##0.00</c:formatCode>
                <c:ptCount val="3"/>
                <c:pt idx="0">
                  <c:v>9370.9896907216498</c:v>
                </c:pt>
                <c:pt idx="1">
                  <c:v>7496</c:v>
                </c:pt>
                <c:pt idx="2">
                  <c:v>10482.494845360825</c:v>
                </c:pt>
              </c:numCache>
            </c:numRef>
          </c:val>
          <c:extLst>
            <c:ext xmlns:c16="http://schemas.microsoft.com/office/drawing/2014/chart" uri="{C3380CC4-5D6E-409C-BE32-E72D297353CC}">
              <c16:uniqueId val="{00000000-2B0C-41C5-BA78-B54DB6DA4FC4}"/>
            </c:ext>
          </c:extLst>
        </c:ser>
        <c:dLbls>
          <c:dLblPos val="outEnd"/>
          <c:showLegendKey val="0"/>
          <c:showVal val="1"/>
          <c:showCatName val="0"/>
          <c:showSerName val="0"/>
          <c:showPercent val="0"/>
          <c:showBubbleSize val="0"/>
        </c:dLbls>
        <c:gapWidth val="219"/>
        <c:overlap val="-27"/>
        <c:axId val="1894608608"/>
        <c:axId val="1894618688"/>
      </c:barChart>
      <c:catAx>
        <c:axId val="189460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18688"/>
        <c:crosses val="autoZero"/>
        <c:auto val="1"/>
        <c:lblAlgn val="ctr"/>
        <c:lblOffset val="100"/>
        <c:noMultiLvlLbl val="0"/>
      </c:catAx>
      <c:valAx>
        <c:axId val="189461868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0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a:t>
            </a:r>
            <a:r>
              <a:rPr lang="en-US"/>
              <a:t>Total inventory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91-42F5-BF8D-691E4EF5F3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91-42F5-BF8D-691E4EF5F3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91-42F5-BF8D-691E4EF5F377}"/>
              </c:ext>
            </c:extLst>
          </c:dPt>
          <c:cat>
            <c:strRef>
              <c:f>'pivot tables'!$G$4:$G$7</c:f>
              <c:strCache>
                <c:ptCount val="3"/>
                <c:pt idx="0">
                  <c:v>Low Budget</c:v>
                </c:pt>
                <c:pt idx="1">
                  <c:v>Mid range</c:v>
                </c:pt>
                <c:pt idx="2">
                  <c:v>premium</c:v>
                </c:pt>
              </c:strCache>
            </c:strRef>
          </c:cat>
          <c:val>
            <c:numRef>
              <c:f>'pivot tables'!$H$4:$H$7</c:f>
              <c:numCache>
                <c:formatCode>0.00</c:formatCode>
                <c:ptCount val="3"/>
                <c:pt idx="0">
                  <c:v>1085876.9007216494</c:v>
                </c:pt>
                <c:pt idx="1">
                  <c:v>1851118.9372340427</c:v>
                </c:pt>
                <c:pt idx="2">
                  <c:v>4099184.6235051546</c:v>
                </c:pt>
              </c:numCache>
            </c:numRef>
          </c:val>
          <c:extLst>
            <c:ext xmlns:c16="http://schemas.microsoft.com/office/drawing/2014/chart" uri="{C3380CC4-5D6E-409C-BE32-E72D297353CC}">
              <c16:uniqueId val="{00000006-3C91-42F5-BF8D-691E4EF5F3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133092738407707"/>
          <c:y val="0.2572178477690289"/>
          <c:w val="0.45866907261592299"/>
          <c:h val="0.65853091280256637"/>
        </c:manualLayout>
      </c:layout>
      <c:barChart>
        <c:barDir val="col"/>
        <c:grouping val="clustered"/>
        <c:varyColors val="0"/>
        <c:ser>
          <c:idx val="0"/>
          <c:order val="0"/>
          <c:tx>
            <c:strRef>
              <c:f>'pivot tables'!$B$11</c:f>
              <c:strCache>
                <c:ptCount val="1"/>
                <c:pt idx="0">
                  <c:v>Sum of Estimate price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tables'!$A$12:$A$15</c:f>
              <c:strCache>
                <c:ptCount val="3"/>
                <c:pt idx="0">
                  <c:v>Low Budget</c:v>
                </c:pt>
                <c:pt idx="1">
                  <c:v>Mid range</c:v>
                </c:pt>
                <c:pt idx="2">
                  <c:v>premium</c:v>
                </c:pt>
              </c:strCache>
            </c:strRef>
          </c:cat>
          <c:val>
            <c:numRef>
              <c:f>'pivot tables'!$B$12:$B$15</c:f>
              <c:numCache>
                <c:formatCode>"₹"\ #,##0.00</c:formatCode>
                <c:ptCount val="3"/>
                <c:pt idx="0">
                  <c:v>5722.3739999999971</c:v>
                </c:pt>
                <c:pt idx="1">
                  <c:v>8939.3243829787225</c:v>
                </c:pt>
                <c:pt idx="2">
                  <c:v>20904.407999999999</c:v>
                </c:pt>
              </c:numCache>
            </c:numRef>
          </c:val>
          <c:extLst>
            <c:ext xmlns:c16="http://schemas.microsoft.com/office/drawing/2014/chart" uri="{C3380CC4-5D6E-409C-BE32-E72D297353CC}">
              <c16:uniqueId val="{00000001-858D-40AF-8E51-C3D2819D36FC}"/>
            </c:ext>
          </c:extLst>
        </c:ser>
        <c:ser>
          <c:idx val="1"/>
          <c:order val="1"/>
          <c:tx>
            <c:strRef>
              <c:f>'pivot tables'!$C$11</c:f>
              <c:strCache>
                <c:ptCount val="1"/>
                <c:pt idx="0">
                  <c:v>Sum of Stock</c:v>
                </c:pt>
              </c:strCache>
            </c:strRef>
          </c:tx>
          <c:spPr>
            <a:solidFill>
              <a:schemeClr val="accent2"/>
            </a:solidFill>
            <a:ln>
              <a:noFill/>
            </a:ln>
            <a:effectLst/>
          </c:spPr>
          <c:invertIfNegative val="0"/>
          <c:cat>
            <c:strRef>
              <c:f>'pivot tables'!$A$12:$A$15</c:f>
              <c:strCache>
                <c:ptCount val="3"/>
                <c:pt idx="0">
                  <c:v>Low Budget</c:v>
                </c:pt>
                <c:pt idx="1">
                  <c:v>Mid range</c:v>
                </c:pt>
                <c:pt idx="2">
                  <c:v>premium</c:v>
                </c:pt>
              </c:strCache>
            </c:strRef>
          </c:cat>
          <c:val>
            <c:numRef>
              <c:f>'pivot tables'!$C$12:$C$15</c:f>
              <c:numCache>
                <c:formatCode>"₹"\ #,##0.00</c:formatCode>
                <c:ptCount val="3"/>
                <c:pt idx="0">
                  <c:v>9370.9896907216498</c:v>
                </c:pt>
                <c:pt idx="1">
                  <c:v>7496</c:v>
                </c:pt>
                <c:pt idx="2">
                  <c:v>10482.494845360825</c:v>
                </c:pt>
              </c:numCache>
            </c:numRef>
          </c:val>
          <c:extLst>
            <c:ext xmlns:c16="http://schemas.microsoft.com/office/drawing/2014/chart" uri="{C3380CC4-5D6E-409C-BE32-E72D297353CC}">
              <c16:uniqueId val="{00000002-858D-40AF-8E51-C3D2819D36FC}"/>
            </c:ext>
          </c:extLst>
        </c:ser>
        <c:ser>
          <c:idx val="2"/>
          <c:order val="2"/>
          <c:tx>
            <c:strRef>
              <c:f>'pivot tables'!$D$11</c:f>
              <c:strCache>
                <c:ptCount val="1"/>
                <c:pt idx="0">
                  <c:v>Sum of Cost</c:v>
                </c:pt>
              </c:strCache>
            </c:strRef>
          </c:tx>
          <c:spPr>
            <a:solidFill>
              <a:schemeClr val="accent3"/>
            </a:solidFill>
            <a:ln>
              <a:noFill/>
            </a:ln>
            <a:effectLst/>
          </c:spPr>
          <c:invertIfNegative val="0"/>
          <c:cat>
            <c:strRef>
              <c:f>'pivot tables'!$A$12:$A$15</c:f>
              <c:strCache>
                <c:ptCount val="3"/>
                <c:pt idx="0">
                  <c:v>Low Budget</c:v>
                </c:pt>
                <c:pt idx="1">
                  <c:v>Mid range</c:v>
                </c:pt>
                <c:pt idx="2">
                  <c:v>premium</c:v>
                </c:pt>
              </c:strCache>
            </c:strRef>
          </c:cat>
          <c:val>
            <c:numRef>
              <c:f>'pivot tables'!$D$12:$D$15</c:f>
              <c:numCache>
                <c:formatCode>"₹"\ #,##0.00</c:formatCode>
                <c:ptCount val="3"/>
                <c:pt idx="0">
                  <c:v>4087.4099999999994</c:v>
                </c:pt>
                <c:pt idx="1">
                  <c:v>6385.2317021276585</c:v>
                </c:pt>
                <c:pt idx="2">
                  <c:v>14931.719999999998</c:v>
                </c:pt>
              </c:numCache>
            </c:numRef>
          </c:val>
          <c:extLst>
            <c:ext xmlns:c16="http://schemas.microsoft.com/office/drawing/2014/chart" uri="{C3380CC4-5D6E-409C-BE32-E72D297353CC}">
              <c16:uniqueId val="{00000003-858D-40AF-8E51-C3D2819D36FC}"/>
            </c:ext>
          </c:extLst>
        </c:ser>
        <c:dLbls>
          <c:showLegendKey val="0"/>
          <c:showVal val="0"/>
          <c:showCatName val="0"/>
          <c:showSerName val="0"/>
          <c:showPercent val="0"/>
          <c:showBubbleSize val="0"/>
        </c:dLbls>
        <c:gapWidth val="219"/>
        <c:overlap val="-27"/>
        <c:axId val="1894617728"/>
        <c:axId val="1894594208"/>
      </c:barChart>
      <c:catAx>
        <c:axId val="189461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94208"/>
        <c:crosses val="autoZero"/>
        <c:auto val="1"/>
        <c:lblAlgn val="ctr"/>
        <c:lblOffset val="100"/>
        <c:noMultiLvlLbl val="0"/>
      </c:catAx>
      <c:valAx>
        <c:axId val="189459420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1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 tables'!$B$11</c:f>
              <c:strCache>
                <c:ptCount val="1"/>
                <c:pt idx="0">
                  <c:v>Sum of Estimate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D5-4829-8405-3E6DCC794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5-4829-8405-3E6DCC794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D5-4829-8405-3E6DCC79454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tables'!$A$12:$A$15</c:f>
              <c:strCache>
                <c:ptCount val="3"/>
                <c:pt idx="0">
                  <c:v>Low Budget</c:v>
                </c:pt>
                <c:pt idx="1">
                  <c:v>Mid range</c:v>
                </c:pt>
                <c:pt idx="2">
                  <c:v>premium</c:v>
                </c:pt>
              </c:strCache>
            </c:strRef>
          </c:cat>
          <c:val>
            <c:numRef>
              <c:f>'pivot tables'!$B$12:$B$15</c:f>
              <c:numCache>
                <c:formatCode>"₹"\ #,##0.00</c:formatCode>
                <c:ptCount val="3"/>
                <c:pt idx="0">
                  <c:v>5722.3739999999971</c:v>
                </c:pt>
                <c:pt idx="1">
                  <c:v>8939.3243829787225</c:v>
                </c:pt>
                <c:pt idx="2">
                  <c:v>20904.407999999999</c:v>
                </c:pt>
              </c:numCache>
            </c:numRef>
          </c:val>
          <c:extLst>
            <c:ext xmlns:c16="http://schemas.microsoft.com/office/drawing/2014/chart" uri="{C3380CC4-5D6E-409C-BE32-E72D297353CC}">
              <c16:uniqueId val="{00000006-38D5-4829-8405-3E6DCC79454C}"/>
            </c:ext>
          </c:extLst>
        </c:ser>
        <c:ser>
          <c:idx val="1"/>
          <c:order val="1"/>
          <c:tx>
            <c:strRef>
              <c:f>'pivot tables'!$C$11</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8D5-4829-8405-3E6DCC794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8D5-4829-8405-3E6DCC794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8D5-4829-8405-3E6DCC79454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tables'!$A$12:$A$15</c:f>
              <c:strCache>
                <c:ptCount val="3"/>
                <c:pt idx="0">
                  <c:v>Low Budget</c:v>
                </c:pt>
                <c:pt idx="1">
                  <c:v>Mid range</c:v>
                </c:pt>
                <c:pt idx="2">
                  <c:v>premium</c:v>
                </c:pt>
              </c:strCache>
            </c:strRef>
          </c:cat>
          <c:val>
            <c:numRef>
              <c:f>'pivot tables'!$C$12:$C$15</c:f>
              <c:numCache>
                <c:formatCode>"₹"\ #,##0.00</c:formatCode>
                <c:ptCount val="3"/>
                <c:pt idx="0">
                  <c:v>9370.9896907216498</c:v>
                </c:pt>
                <c:pt idx="1">
                  <c:v>7496</c:v>
                </c:pt>
                <c:pt idx="2">
                  <c:v>10482.494845360825</c:v>
                </c:pt>
              </c:numCache>
            </c:numRef>
          </c:val>
          <c:extLst>
            <c:ext xmlns:c16="http://schemas.microsoft.com/office/drawing/2014/chart" uri="{C3380CC4-5D6E-409C-BE32-E72D297353CC}">
              <c16:uniqueId val="{0000000D-38D5-4829-8405-3E6DCC79454C}"/>
            </c:ext>
          </c:extLst>
        </c:ser>
        <c:ser>
          <c:idx val="2"/>
          <c:order val="2"/>
          <c:tx>
            <c:strRef>
              <c:f>'pivot tables'!$D$11</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38D5-4829-8405-3E6DCC794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38D5-4829-8405-3E6DCC794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38D5-4829-8405-3E6DCC79454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tables'!$A$12:$A$15</c:f>
              <c:strCache>
                <c:ptCount val="3"/>
                <c:pt idx="0">
                  <c:v>Low Budget</c:v>
                </c:pt>
                <c:pt idx="1">
                  <c:v>Mid range</c:v>
                </c:pt>
                <c:pt idx="2">
                  <c:v>premium</c:v>
                </c:pt>
              </c:strCache>
            </c:strRef>
          </c:cat>
          <c:val>
            <c:numRef>
              <c:f>'pivot tables'!$D$12:$D$15</c:f>
              <c:numCache>
                <c:formatCode>"₹"\ #,##0.00</c:formatCode>
                <c:ptCount val="3"/>
                <c:pt idx="0">
                  <c:v>4087.4099999999994</c:v>
                </c:pt>
                <c:pt idx="1">
                  <c:v>6385.2317021276585</c:v>
                </c:pt>
                <c:pt idx="2">
                  <c:v>14931.719999999998</c:v>
                </c:pt>
              </c:numCache>
            </c:numRef>
          </c:val>
          <c:extLst>
            <c:ext xmlns:c16="http://schemas.microsoft.com/office/drawing/2014/chart" uri="{C3380CC4-5D6E-409C-BE32-E72D297353CC}">
              <c16:uniqueId val="{00000014-38D5-4829-8405-3E6DCC79454C}"/>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dataset.xlsx]pivot tables!PivotTable13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Low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tables'!$F$13:$F$14</c:f>
              <c:strCache>
                <c:ptCount val="1"/>
                <c:pt idx="0">
                  <c:v>Available</c:v>
                </c:pt>
              </c:strCache>
            </c:strRef>
          </c:cat>
          <c:val>
            <c:numRef>
              <c:f>'pivot tables'!$G$13:$G$14</c:f>
              <c:numCache>
                <c:formatCode>General</c:formatCode>
                <c:ptCount val="1"/>
                <c:pt idx="0">
                  <c:v>28</c:v>
                </c:pt>
              </c:numCache>
            </c:numRef>
          </c:val>
          <c:extLst>
            <c:ext xmlns:c16="http://schemas.microsoft.com/office/drawing/2014/chart" uri="{C3380CC4-5D6E-409C-BE32-E72D297353CC}">
              <c16:uniqueId val="{00000000-DB06-4B92-BD59-30DDFDB2A8DF}"/>
            </c:ext>
          </c:extLst>
        </c:ser>
        <c:ser>
          <c:idx val="1"/>
          <c:order val="1"/>
          <c:tx>
            <c:strRef>
              <c:f>'pivot tables'!$H$11:$H$12</c:f>
              <c:strCache>
                <c:ptCount val="1"/>
                <c:pt idx="0">
                  <c:v>Mid range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tables'!$F$13:$F$14</c:f>
              <c:strCache>
                <c:ptCount val="1"/>
                <c:pt idx="0">
                  <c:v>Available</c:v>
                </c:pt>
              </c:strCache>
            </c:strRef>
          </c:cat>
          <c:val>
            <c:numRef>
              <c:f>'pivot tables'!$H$13:$H$14</c:f>
              <c:numCache>
                <c:formatCode>General</c:formatCode>
                <c:ptCount val="1"/>
                <c:pt idx="0">
                  <c:v>24</c:v>
                </c:pt>
              </c:numCache>
            </c:numRef>
          </c:val>
          <c:extLst>
            <c:ext xmlns:c16="http://schemas.microsoft.com/office/drawing/2014/chart" uri="{C3380CC4-5D6E-409C-BE32-E72D297353CC}">
              <c16:uniqueId val="{00000001-DB06-4B92-BD59-30DDFDB2A8DF}"/>
            </c:ext>
          </c:extLst>
        </c:ser>
        <c:ser>
          <c:idx val="2"/>
          <c:order val="2"/>
          <c:tx>
            <c:strRef>
              <c:f>'pivot tables'!$I$11:$I$12</c:f>
              <c:strCache>
                <c:ptCount val="1"/>
                <c:pt idx="0">
                  <c:v>premium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tables'!$F$13:$F$14</c:f>
              <c:strCache>
                <c:ptCount val="1"/>
                <c:pt idx="0">
                  <c:v>Available</c:v>
                </c:pt>
              </c:strCache>
            </c:strRef>
          </c:cat>
          <c:val>
            <c:numRef>
              <c:f>'pivot tables'!$I$13:$I$14</c:f>
              <c:numCache>
                <c:formatCode>General</c:formatCode>
                <c:ptCount val="1"/>
                <c:pt idx="0">
                  <c:v>36</c:v>
                </c:pt>
              </c:numCache>
            </c:numRef>
          </c:val>
          <c:extLst>
            <c:ext xmlns:c16="http://schemas.microsoft.com/office/drawing/2014/chart" uri="{C3380CC4-5D6E-409C-BE32-E72D297353CC}">
              <c16:uniqueId val="{00000003-DB06-4B92-BD59-30DDFDB2A8DF}"/>
            </c:ext>
          </c:extLst>
        </c:ser>
        <c:dLbls>
          <c:dLblPos val="outEnd"/>
          <c:showLegendKey val="0"/>
          <c:showVal val="1"/>
          <c:showCatName val="0"/>
          <c:showSerName val="0"/>
          <c:showPercent val="0"/>
          <c:showBubbleSize val="0"/>
        </c:dLbls>
        <c:gapWidth val="219"/>
        <c:overlap val="-27"/>
        <c:axId val="1959441600"/>
        <c:axId val="1959451200"/>
      </c:barChart>
      <c:catAx>
        <c:axId val="19594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51200"/>
        <c:crosses val="autoZero"/>
        <c:auto val="1"/>
        <c:lblAlgn val="ctr"/>
        <c:lblOffset val="100"/>
        <c:noMultiLvlLbl val="0"/>
      </c:catAx>
      <c:valAx>
        <c:axId val="19594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41600"/>
        <c:crosses val="autoZero"/>
        <c:crossBetween val="between"/>
      </c:valAx>
      <c:spPr>
        <a:solidFill>
          <a:schemeClr val="bg2">
            <a:lumMod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600075</xdr:colOff>
      <xdr:row>7</xdr:row>
      <xdr:rowOff>95249</xdr:rowOff>
    </xdr:from>
    <xdr:to>
      <xdr:col>7</xdr:col>
      <xdr:colOff>1323975</xdr:colOff>
      <xdr:row>17</xdr:row>
      <xdr:rowOff>171450</xdr:rowOff>
    </xdr:to>
    <xdr:graphicFrame macro="">
      <xdr:nvGraphicFramePr>
        <xdr:cNvPr id="30" name="Chart 29">
          <a:extLst>
            <a:ext uri="{FF2B5EF4-FFF2-40B4-BE49-F238E27FC236}">
              <a16:creationId xmlns:a16="http://schemas.microsoft.com/office/drawing/2014/main" id="{3D3372D7-70D4-52C8-DB95-005D0B72B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390525</xdr:colOff>
      <xdr:row>7</xdr:row>
      <xdr:rowOff>161924</xdr:rowOff>
    </xdr:from>
    <xdr:to>
      <xdr:col>11</xdr:col>
      <xdr:colOff>19050</xdr:colOff>
      <xdr:row>18</xdr:row>
      <xdr:rowOff>161923</xdr:rowOff>
    </xdr:to>
    <xdr:graphicFrame macro="">
      <xdr:nvGraphicFramePr>
        <xdr:cNvPr id="3" name="Chart 2">
          <a:extLst>
            <a:ext uri="{FF2B5EF4-FFF2-40B4-BE49-F238E27FC236}">
              <a16:creationId xmlns:a16="http://schemas.microsoft.com/office/drawing/2014/main" id="{1C52B635-06DB-4C84-A52D-8A9A18000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561975</xdr:colOff>
      <xdr:row>6</xdr:row>
      <xdr:rowOff>123825</xdr:rowOff>
    </xdr:from>
    <xdr:to>
      <xdr:col>15</xdr:col>
      <xdr:colOff>400050</xdr:colOff>
      <xdr:row>18</xdr:row>
      <xdr:rowOff>85724</xdr:rowOff>
    </xdr:to>
    <xdr:graphicFrame macro="">
      <xdr:nvGraphicFramePr>
        <xdr:cNvPr id="4" name="Chart 3">
          <a:extLst>
            <a:ext uri="{FF2B5EF4-FFF2-40B4-BE49-F238E27FC236}">
              <a16:creationId xmlns:a16="http://schemas.microsoft.com/office/drawing/2014/main" id="{26236AA3-5C87-47E7-A7D0-B47D74BA5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6</xdr:row>
      <xdr:rowOff>47625</xdr:rowOff>
    </xdr:from>
    <xdr:to>
      <xdr:col>20</xdr:col>
      <xdr:colOff>533399</xdr:colOff>
      <xdr:row>17</xdr:row>
      <xdr:rowOff>180975</xdr:rowOff>
    </xdr:to>
    <xdr:graphicFrame macro="">
      <xdr:nvGraphicFramePr>
        <xdr:cNvPr id="5" name="Chart 4">
          <a:extLst>
            <a:ext uri="{FF2B5EF4-FFF2-40B4-BE49-F238E27FC236}">
              <a16:creationId xmlns:a16="http://schemas.microsoft.com/office/drawing/2014/main" id="{CAE6E3F7-374F-4273-BF58-BDB2D6B1D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266700</xdr:colOff>
      <xdr:row>18</xdr:row>
      <xdr:rowOff>123825</xdr:rowOff>
    </xdr:from>
    <xdr:to>
      <xdr:col>14</xdr:col>
      <xdr:colOff>428625</xdr:colOff>
      <xdr:row>29</xdr:row>
      <xdr:rowOff>28575</xdr:rowOff>
    </xdr:to>
    <xdr:graphicFrame macro="">
      <xdr:nvGraphicFramePr>
        <xdr:cNvPr id="6" name="Chart 5">
          <a:extLst>
            <a:ext uri="{FF2B5EF4-FFF2-40B4-BE49-F238E27FC236}">
              <a16:creationId xmlns:a16="http://schemas.microsoft.com/office/drawing/2014/main" id="{968D7985-D81F-4CB0-9293-695512F1F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28574</xdr:colOff>
      <xdr:row>6</xdr:row>
      <xdr:rowOff>19048</xdr:rowOff>
    </xdr:from>
    <xdr:to>
      <xdr:col>2</xdr:col>
      <xdr:colOff>152400</xdr:colOff>
      <xdr:row>10</xdr:row>
      <xdr:rowOff>133349</xdr:rowOff>
    </xdr:to>
    <mc:AlternateContent xmlns:mc="http://schemas.openxmlformats.org/markup-compatibility/2006">
      <mc:Choice xmlns:a14="http://schemas.microsoft.com/office/drawing/2010/main" Requires="a14">
        <xdr:graphicFrame macro="">
          <xdr:nvGraphicFramePr>
            <xdr:cNvPr id="8" name="Stock Status 1">
              <a:extLst>
                <a:ext uri="{FF2B5EF4-FFF2-40B4-BE49-F238E27FC236}">
                  <a16:creationId xmlns:a16="http://schemas.microsoft.com/office/drawing/2014/main" id="{9D113C37-D0BF-4345-945D-634380F01942}"/>
                </a:ext>
              </a:extLst>
            </xdr:cNvPr>
            <xdr:cNvGraphicFramePr/>
          </xdr:nvGraphicFramePr>
          <xdr:xfrm>
            <a:off x="0" y="0"/>
            <a:ext cx="0" cy="0"/>
          </xdr:xfrm>
          <a:graphic>
            <a:graphicData uri="http://schemas.microsoft.com/office/drawing/2010/slicer">
              <sle:slicer xmlns:sle="http://schemas.microsoft.com/office/drawing/2010/slicer" name="Stock Status 1"/>
            </a:graphicData>
          </a:graphic>
        </xdr:graphicFrame>
      </mc:Choice>
      <mc:Fallback>
        <xdr:sp macro="" textlink="">
          <xdr:nvSpPr>
            <xdr:cNvPr id="0" name=""/>
            <xdr:cNvSpPr>
              <a:spLocks noTextEdit="1"/>
            </xdr:cNvSpPr>
          </xdr:nvSpPr>
          <xdr:spPr>
            <a:xfrm>
              <a:off x="28574" y="1162048"/>
              <a:ext cx="1343026"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20</xdr:row>
      <xdr:rowOff>19051</xdr:rowOff>
    </xdr:from>
    <xdr:to>
      <xdr:col>2</xdr:col>
      <xdr:colOff>209549</xdr:colOff>
      <xdr:row>26</xdr:row>
      <xdr:rowOff>142875</xdr:rowOff>
    </xdr:to>
    <mc:AlternateContent xmlns:mc="http://schemas.openxmlformats.org/markup-compatibility/2006">
      <mc:Choice xmlns:a14="http://schemas.microsoft.com/office/drawing/2010/main" Requires="a14">
        <xdr:graphicFrame macro="">
          <xdr:nvGraphicFramePr>
            <xdr:cNvPr id="14" name="Price Range 1">
              <a:extLst>
                <a:ext uri="{FF2B5EF4-FFF2-40B4-BE49-F238E27FC236}">
                  <a16:creationId xmlns:a16="http://schemas.microsoft.com/office/drawing/2014/main" id="{B94F47D9-4CA6-400B-8EFA-D34F14BA85FD}"/>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47624" y="3829051"/>
              <a:ext cx="1381125" cy="1266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10</xdr:row>
      <xdr:rowOff>133350</xdr:rowOff>
    </xdr:from>
    <xdr:to>
      <xdr:col>2</xdr:col>
      <xdr:colOff>161925</xdr:colOff>
      <xdr:row>19</xdr:row>
      <xdr:rowOff>123825</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7410969C-EA59-4592-849A-4C03E0B528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6674" y="2038350"/>
              <a:ext cx="1314451"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523875</xdr:colOff>
      <xdr:row>18</xdr:row>
      <xdr:rowOff>95250</xdr:rowOff>
    </xdr:from>
    <xdr:to>
      <xdr:col>20</xdr:col>
      <xdr:colOff>323850</xdr:colOff>
      <xdr:row>27</xdr:row>
      <xdr:rowOff>114300</xdr:rowOff>
    </xdr:to>
    <xdr:graphicFrame macro="">
      <xdr:nvGraphicFramePr>
        <xdr:cNvPr id="18" name="Chart 17">
          <a:extLst>
            <a:ext uri="{FF2B5EF4-FFF2-40B4-BE49-F238E27FC236}">
              <a16:creationId xmlns:a16="http://schemas.microsoft.com/office/drawing/2014/main" id="{055B7F35-DD41-4743-95EE-48B2102DF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504825</xdr:colOff>
      <xdr:row>0</xdr:row>
      <xdr:rowOff>0</xdr:rowOff>
    </xdr:from>
    <xdr:to>
      <xdr:col>15</xdr:col>
      <xdr:colOff>419100</xdr:colOff>
      <xdr:row>2</xdr:row>
      <xdr:rowOff>66675</xdr:rowOff>
    </xdr:to>
    <xdr:sp macro="" textlink="">
      <xdr:nvSpPr>
        <xdr:cNvPr id="19" name="TextBox 18">
          <a:extLst>
            <a:ext uri="{FF2B5EF4-FFF2-40B4-BE49-F238E27FC236}">
              <a16:creationId xmlns:a16="http://schemas.microsoft.com/office/drawing/2014/main" id="{BCE10F62-AA51-9A7C-152B-5B7BA684400D}"/>
            </a:ext>
          </a:extLst>
        </xdr:cNvPr>
        <xdr:cNvSpPr txBox="1"/>
      </xdr:nvSpPr>
      <xdr:spPr>
        <a:xfrm>
          <a:off x="2333625" y="0"/>
          <a:ext cx="7229475" cy="4476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solidFill>
              <a:effectLst/>
              <a:latin typeface="+mn-lt"/>
              <a:ea typeface="+mn-ea"/>
              <a:cs typeface="+mn-cs"/>
            </a:rPr>
            <a:t>E-commerce Store Analysis</a:t>
          </a:r>
        </a:p>
        <a:p>
          <a:endParaRPr lang="en-IN" sz="1100"/>
        </a:p>
      </xdr:txBody>
    </xdr:sp>
    <xdr:clientData/>
  </xdr:twoCellAnchor>
  <xdr:twoCellAnchor>
    <xdr:from>
      <xdr:col>3</xdr:col>
      <xdr:colOff>495300</xdr:colOff>
      <xdr:row>3</xdr:row>
      <xdr:rowOff>142874</xdr:rowOff>
    </xdr:from>
    <xdr:to>
      <xdr:col>5</xdr:col>
      <xdr:colOff>371475</xdr:colOff>
      <xdr:row>7</xdr:row>
      <xdr:rowOff>95249</xdr:rowOff>
    </xdr:to>
    <xdr:sp macro="" textlink="">
      <xdr:nvSpPr>
        <xdr:cNvPr id="20" name="TextBox 19">
          <a:extLst>
            <a:ext uri="{FF2B5EF4-FFF2-40B4-BE49-F238E27FC236}">
              <a16:creationId xmlns:a16="http://schemas.microsoft.com/office/drawing/2014/main" id="{8847AA00-F91D-83A1-7917-F340D3B91D96}"/>
            </a:ext>
          </a:extLst>
        </xdr:cNvPr>
        <xdr:cNvSpPr txBox="1"/>
      </xdr:nvSpPr>
      <xdr:spPr>
        <a:xfrm>
          <a:off x="2324100" y="714374"/>
          <a:ext cx="1095375" cy="71437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accent1"/>
              </a:solidFill>
              <a:effectLst/>
              <a:latin typeface="+mn-lt"/>
              <a:ea typeface="+mn-ea"/>
              <a:cs typeface="+mn-cs"/>
            </a:rPr>
            <a:t>Sum</a:t>
          </a:r>
          <a:r>
            <a:rPr lang="en-IN" sz="1200">
              <a:solidFill>
                <a:schemeClr val="accent1"/>
              </a:solidFill>
              <a:effectLst/>
            </a:rPr>
            <a:t> </a:t>
          </a:r>
          <a:r>
            <a:rPr lang="en-IN" sz="1200" b="0" i="0" u="none" strike="noStrike">
              <a:solidFill>
                <a:schemeClr val="accent2"/>
              </a:solidFill>
              <a:effectLst/>
              <a:latin typeface="+mn-lt"/>
              <a:ea typeface="+mn-ea"/>
              <a:cs typeface="+mn-cs"/>
            </a:rPr>
            <a:t>27349.48</a:t>
          </a:r>
          <a:r>
            <a:rPr lang="en-IN" sz="1200" b="0" i="0" u="none" strike="noStrike">
              <a:solidFill>
                <a:schemeClr val="accent2"/>
              </a:solidFill>
              <a:effectLst/>
              <a:latin typeface="Calibri" panose="020F0502020204030204" pitchFamily="34" charset="0"/>
            </a:rPr>
            <a:t>10</a:t>
          </a:r>
          <a:endParaRPr lang="en-IN" sz="1200">
            <a:solidFill>
              <a:schemeClr val="accent2"/>
            </a:solidFill>
            <a:effectLst/>
          </a:endParaRPr>
        </a:p>
        <a:p>
          <a:endParaRPr lang="en-IN" sz="1100">
            <a:effectLst/>
          </a:endParaRPr>
        </a:p>
        <a:p>
          <a:endParaRPr lang="en-IN" sz="1100"/>
        </a:p>
      </xdr:txBody>
    </xdr:sp>
    <xdr:clientData/>
  </xdr:twoCellAnchor>
  <xdr:twoCellAnchor>
    <xdr:from>
      <xdr:col>6</xdr:col>
      <xdr:colOff>19050</xdr:colOff>
      <xdr:row>3</xdr:row>
      <xdr:rowOff>133350</xdr:rowOff>
    </xdr:from>
    <xdr:to>
      <xdr:col>7</xdr:col>
      <xdr:colOff>371475</xdr:colOff>
      <xdr:row>7</xdr:row>
      <xdr:rowOff>85726</xdr:rowOff>
    </xdr:to>
    <xdr:sp macro="" textlink="">
      <xdr:nvSpPr>
        <xdr:cNvPr id="21" name="TextBox 20">
          <a:extLst>
            <a:ext uri="{FF2B5EF4-FFF2-40B4-BE49-F238E27FC236}">
              <a16:creationId xmlns:a16="http://schemas.microsoft.com/office/drawing/2014/main" id="{F20C9E48-18ED-DC05-1EEA-EF720475ACF8}"/>
            </a:ext>
          </a:extLst>
        </xdr:cNvPr>
        <xdr:cNvSpPr txBox="1"/>
      </xdr:nvSpPr>
      <xdr:spPr>
        <a:xfrm>
          <a:off x="3676650" y="704850"/>
          <a:ext cx="962025" cy="714376"/>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accent1"/>
              </a:solidFill>
              <a:effectLst/>
              <a:latin typeface="+mn-lt"/>
              <a:ea typeface="+mn-ea"/>
              <a:cs typeface="+mn-cs"/>
            </a:rPr>
            <a:t>Count</a:t>
          </a:r>
          <a:r>
            <a:rPr lang="en-IN" sz="1800">
              <a:solidFill>
                <a:schemeClr val="accent1"/>
              </a:solidFill>
              <a:effectLst/>
            </a:rPr>
            <a:t> </a:t>
          </a:r>
          <a:endParaRPr lang="en-IN" sz="1800" b="0" i="0" u="none" strike="noStrike">
            <a:solidFill>
              <a:schemeClr val="accent1"/>
            </a:solidFill>
            <a:effectLst/>
            <a:latin typeface="+mn-lt"/>
            <a:ea typeface="+mn-ea"/>
            <a:cs typeface="+mn-cs"/>
          </a:endParaRPr>
        </a:p>
        <a:p>
          <a:r>
            <a:rPr lang="en-IN" sz="1100" b="0" i="0" u="none" strike="noStrike">
              <a:solidFill>
                <a:schemeClr val="accent2"/>
              </a:solidFill>
              <a:effectLst/>
              <a:latin typeface="+mn-lt"/>
              <a:ea typeface="+mn-ea"/>
              <a:cs typeface="+mn-cs"/>
            </a:rPr>
            <a:t>100</a:t>
          </a:r>
          <a:r>
            <a:rPr lang="en-IN">
              <a:solidFill>
                <a:schemeClr val="accent2"/>
              </a:solidFill>
              <a:effectLst/>
            </a:rPr>
            <a:t> </a:t>
          </a:r>
          <a:endParaRPr lang="en-IN" sz="1100">
            <a:solidFill>
              <a:schemeClr val="accent2"/>
            </a:solidFill>
          </a:endParaRPr>
        </a:p>
      </xdr:txBody>
    </xdr:sp>
    <xdr:clientData/>
  </xdr:twoCellAnchor>
  <xdr:twoCellAnchor>
    <xdr:from>
      <xdr:col>7</xdr:col>
      <xdr:colOff>504826</xdr:colOff>
      <xdr:row>3</xdr:row>
      <xdr:rowOff>123825</xdr:rowOff>
    </xdr:from>
    <xdr:to>
      <xdr:col>9</xdr:col>
      <xdr:colOff>400050</xdr:colOff>
      <xdr:row>7</xdr:row>
      <xdr:rowOff>114300</xdr:rowOff>
    </xdr:to>
    <xdr:sp macro="" textlink="">
      <xdr:nvSpPr>
        <xdr:cNvPr id="22" name="TextBox 21">
          <a:extLst>
            <a:ext uri="{FF2B5EF4-FFF2-40B4-BE49-F238E27FC236}">
              <a16:creationId xmlns:a16="http://schemas.microsoft.com/office/drawing/2014/main" id="{2517BDF0-9AAA-EF89-B18B-023CACD9AD1B}"/>
            </a:ext>
          </a:extLst>
        </xdr:cNvPr>
        <xdr:cNvSpPr txBox="1"/>
      </xdr:nvSpPr>
      <xdr:spPr>
        <a:xfrm>
          <a:off x="4772026" y="695325"/>
          <a:ext cx="1114424" cy="75247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solidFill>
              <a:effectLst/>
              <a:latin typeface="+mn-lt"/>
              <a:ea typeface="+mn-ea"/>
              <a:cs typeface="+mn-cs"/>
            </a:rPr>
            <a:t>Minimum</a:t>
          </a:r>
          <a:r>
            <a:rPr lang="en-IN" sz="1400">
              <a:solidFill>
                <a:schemeClr val="accent1"/>
              </a:solidFill>
              <a:effectLst/>
            </a:rPr>
            <a:t> </a:t>
          </a:r>
          <a:endParaRPr lang="en-IN" sz="1400" b="0" i="0" u="none" strike="noStrike">
            <a:solidFill>
              <a:schemeClr val="accent1"/>
            </a:solidFill>
            <a:effectLst/>
            <a:latin typeface="+mn-lt"/>
            <a:ea typeface="+mn-ea"/>
            <a:cs typeface="+mn-cs"/>
          </a:endParaRPr>
        </a:p>
        <a:p>
          <a:r>
            <a:rPr lang="en-IN" sz="1200" b="0" i="0" u="none" strike="noStrike">
              <a:solidFill>
                <a:schemeClr val="accent2"/>
              </a:solidFill>
              <a:effectLst/>
              <a:latin typeface="+mn-lt"/>
              <a:ea typeface="+mn-ea"/>
              <a:cs typeface="+mn-cs"/>
            </a:rPr>
            <a:t>57</a:t>
          </a:r>
          <a:r>
            <a:rPr lang="en-IN" sz="1200">
              <a:solidFill>
                <a:schemeClr val="accent2"/>
              </a:solidFill>
              <a:effectLst/>
            </a:rPr>
            <a:t> </a:t>
          </a:r>
          <a:endParaRPr lang="en-IN" sz="1200">
            <a:solidFill>
              <a:schemeClr val="accent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357093171297" createdVersion="8" refreshedVersion="8" minRefreshableVersion="3" recordCount="100" xr:uid="{75A0E589-36A3-4F24-928E-4DFD875EEBB0}">
  <cacheSource type="worksheet">
    <worksheetSource name="Table1"/>
  </cacheSource>
  <cacheFields count="11">
    <cacheField name="Product_ID" numFmtId="49">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49">
      <sharedItems/>
    </cacheField>
    <cacheField name="Category" numFmtId="49">
      <sharedItems/>
    </cacheField>
    <cacheField name="Sub_Category" numFmtId="49">
      <sharedItems/>
    </cacheField>
    <cacheField name="Brand" numFmtId="49">
      <sharedItems/>
    </cacheField>
    <cacheField name="Cost" numFmtId="164">
      <sharedItems containsSemiMixedTypes="0" containsString="0" containsNumber="1" minValue="17.309999999999999" maxValue="495.72"/>
    </cacheField>
    <cacheField name="Stock" numFmtId="164">
      <sharedItems containsSemiMixedTypes="0" containsString="0" containsNumber="1" minValue="57" maxValue="496"/>
    </cacheField>
    <cacheField name="Total Inventory Value" numFmtId="2">
      <sharedItems containsSemiMixedTypes="0" containsString="0" containsNumber="1" minValue="1112.6399999999999" maxValue="217372"/>
    </cacheField>
    <cacheField name="Stock Status" numFmtId="49">
      <sharedItems/>
    </cacheField>
    <cacheField name="Price Range" numFmtId="49">
      <sharedItems count="3">
        <s v="Low Budget"/>
        <s v="premium"/>
        <s v="Mid range"/>
      </sharedItems>
    </cacheField>
    <cacheField name="Estimate price" numFmtId="164">
      <sharedItems containsSemiMixedTypes="0" containsString="0" containsNumber="1" minValue="24.233999999999998" maxValue="694.00800000000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359288310188" createdVersion="8" refreshedVersion="8" minRefreshableVersion="3" recordCount="100" xr:uid="{E57FBF1E-1734-4EE2-8307-8D362D8D85DE}">
  <cacheSource type="worksheet">
    <worksheetSource name="Table1"/>
  </cacheSource>
  <cacheFields count="11">
    <cacheField name="Product_ID" numFmtId="49">
      <sharedItems/>
    </cacheField>
    <cacheField name="Product_name" numFmtId="49">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49">
      <sharedItems/>
    </cacheField>
    <cacheField name="Sub_Category" numFmtId="49">
      <sharedItems/>
    </cacheField>
    <cacheField name="Brand" numFmtId="49">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164">
      <sharedItems containsSemiMixedTypes="0" containsString="0" containsNumber="1" minValue="17.309999999999999" maxValue="495.72"/>
    </cacheField>
    <cacheField name="Stock" numFmtId="164">
      <sharedItems containsSemiMixedTypes="0" containsString="0" containsNumber="1" minValue="57" maxValue="496" count="90">
        <n v="416"/>
        <n v="181"/>
        <n v="352"/>
        <n v="452"/>
        <n v="487"/>
        <n v="59"/>
        <n v="350"/>
        <n v="170"/>
        <n v="142"/>
        <n v="323"/>
        <n v="308"/>
        <n v="273.49484536082474"/>
        <n v="460"/>
        <n v="453"/>
        <n v="439"/>
        <n v="301"/>
        <n v="256"/>
        <n v="367"/>
        <n v="343"/>
        <n v="65"/>
        <n v="76"/>
        <n v="432"/>
        <n v="360"/>
        <n v="340"/>
        <n v="268"/>
        <n v="213"/>
        <n v="378"/>
        <n v="137"/>
        <n v="276"/>
        <n v="57"/>
        <n v="281"/>
        <n v="244"/>
        <n v="305"/>
        <n v="86"/>
        <n v="329"/>
        <n v="154"/>
        <n v="214"/>
        <n v="394"/>
        <n v="369"/>
        <n v="389"/>
        <n v="266"/>
        <n v="316"/>
        <n v="114"/>
        <n v="296"/>
        <n v="431"/>
        <n v="103"/>
        <n v="267"/>
        <n v="260"/>
        <n v="246"/>
        <n v="82"/>
        <n v="125"/>
        <n v="185"/>
        <n v="190"/>
        <n v="138"/>
        <n v="485"/>
        <n v="399"/>
        <n v="444"/>
        <n v="465"/>
        <n v="222"/>
        <n v="458"/>
        <n v="118"/>
        <n v="423"/>
        <n v="177"/>
        <n v="476"/>
        <n v="130"/>
        <n v="224"/>
        <n v="89"/>
        <n v="383"/>
        <n v="300"/>
        <n v="359"/>
        <n v="159"/>
        <n v="320"/>
        <n v="104"/>
        <n v="400"/>
        <n v="469"/>
        <n v="58"/>
        <n v="358"/>
        <n v="208"/>
        <n v="210"/>
        <n v="220"/>
        <n v="232"/>
        <n v="457"/>
        <n v="361"/>
        <n v="496"/>
        <n v="191"/>
        <n v="75"/>
        <n v="143"/>
        <n v="471"/>
        <n v="73"/>
        <n v="146"/>
      </sharedItems>
    </cacheField>
    <cacheField name="Total Inventory Value" numFmtId="2">
      <sharedItems containsSemiMixedTypes="0" containsString="0" containsNumber="1" minValue="1112.6399999999999" maxValue="217372" count="100">
        <n v="46766.720000000001"/>
        <n v="62003.360000000001"/>
        <n v="89423.353191489368"/>
        <n v="164830.84"/>
        <n v="149246.01999999999"/>
        <n v="15399"/>
        <n v="109480"/>
        <n v="37206.200000000004"/>
        <n v="62347.94"/>
        <n v="160117.56"/>
        <n v="92048.88"/>
        <n v="122908.58350515463"/>
        <n v="53277.2"/>
        <n v="109730.19"/>
        <n v="21076.39"/>
        <n v="140067.34"/>
        <n v="86379.520000000004"/>
        <n v="53042.51"/>
        <n v="87136.960638297882"/>
        <n v="1387.1"/>
        <n v="35967.307113402057"/>
        <n v="9382.9599999999991"/>
        <n v="209355.84"/>
        <n v="91455.702127659577"/>
        <n v="56460.4"/>
        <n v="46637.36"/>
        <n v="68673.33"/>
        <n v="96028.487234042565"/>
        <n v="5310.12"/>
        <n v="60300.479999999996"/>
        <n v="1112.6399999999999"/>
        <n v="57433.59"/>
        <n v="69254.51999999999"/>
        <n v="54829.850000000006"/>
        <n v="36058.079999999994"/>
        <n v="125750.38"/>
        <n v="34408.22"/>
        <n v="75642.58"/>
        <n v="53430.340000000004"/>
        <n v="98144.06"/>
        <n v="14560.560000000001"/>
        <n v="115592.94"/>
        <n v="175326.19"/>
        <n v="67385.78"/>
        <n v="52809.919999999998"/>
        <n v="36355.740000000005"/>
        <n v="49532.639999999999"/>
        <n v="109492.79893617022"/>
        <n v="18331.939999999999"/>
        <n v="11558.43"/>
        <n v="49475.4"/>
        <n v="21768.539999999997"/>
        <n v="17405.32"/>
        <n v="48320"/>
        <n v="80445.399999999994"/>
        <n v="22358.203608247422"/>
        <n v="87679.3"/>
        <n v="4225.5600000000004"/>
        <n v="55207.549999999996"/>
        <n v="6906.69"/>
        <n v="214341"/>
        <n v="48104.25"/>
        <n v="19185.240000000002"/>
        <n v="122221.88"/>
        <n v="35294.980000000003"/>
        <n v="101786.49"/>
        <n v="60249.03"/>
        <n v="166204.92000000001"/>
        <n v="31681"/>
        <n v="48881.279999999999"/>
        <n v="12286.45"/>
        <n v="82084.56"/>
        <n v="143283"/>
        <n v="38434.54"/>
        <n v="64189.89"/>
        <n v="12967.48"/>
        <n v="125724.79999999999"/>
        <n v="50013.599999999999"/>
        <n v="130104"/>
        <n v="107180.57"/>
        <n v="8318.94"/>
        <n v="102223.32"/>
        <n v="42970.52"/>
        <n v="40392.935106382982"/>
        <n v="80799.679999999993"/>
        <n v="25109.699999999997"/>
        <n v="14437.74"/>
        <n v="81703.600000000006"/>
        <n v="30447.68"/>
        <n v="83649.279999999999"/>
        <n v="122790.54"/>
        <n v="217372"/>
        <n v="85459.13"/>
        <n v="183097.19999999998"/>
        <n v="76354.11"/>
        <n v="4548.75"/>
        <n v="51261.210000000006"/>
        <n v="115856.58"/>
        <n v="31511.91"/>
        <n v="29405.86"/>
      </sharedItems>
    </cacheField>
    <cacheField name="Stock Status" numFmtId="49">
      <sharedItems count="2">
        <s v="Available"/>
        <s v="Low Stock"/>
      </sharedItems>
    </cacheField>
    <cacheField name="Price Range" numFmtId="49">
      <sharedItems count="3">
        <s v="Low Budget"/>
        <s v="premium"/>
        <s v="Mid range"/>
      </sharedItems>
    </cacheField>
    <cacheField name="Estimate price" numFmtId="164">
      <sharedItems containsSemiMixedTypes="0" containsString="0" containsNumber="1" minValue="24.233999999999998" maxValue="694.00800000000004" count="94">
        <n v="157.38800000000001"/>
        <n v="479.58399999999995"/>
        <n v="355.66106382978722"/>
        <n v="510.53800000000001"/>
        <n v="429.04399999999993"/>
        <n v="365.4"/>
        <n v="437.92"/>
        <n v="306.404"/>
        <n v="614.69799999999998"/>
        <n v="694.00800000000004"/>
        <n v="418.404"/>
        <n v="629.16"/>
        <n v="162.14799999999997"/>
        <n v="339.12199999999996"/>
        <n v="67.213999999999999"/>
        <n v="651.47599999999989"/>
        <n v="472.38799999999998"/>
        <n v="202.34199999999998"/>
        <n v="29.875999999999998"/>
        <n v="184.11399999999998"/>
        <n v="172.84399999999999"/>
        <n v="678.46799999999996"/>
        <n v="232.48399999999998"/>
        <n v="243.62799999999999"/>
        <n v="451.37400000000002"/>
        <n v="54.263999999999996"/>
        <n v="305.87199999999996"/>
        <n v="27.327999999999999"/>
        <n v="286.14599999999996"/>
        <n v="397.36199999999997"/>
        <n v="251.678"/>
        <n v="586.99199999999996"/>
        <n v="535.10800000000006"/>
        <n v="312.80199999999996"/>
        <n v="494.858"/>
        <n v="189.85400000000001"/>
        <n v="456.48399999999998"/>
        <n v="53.928000000000004"/>
        <n v="438.56399999999996"/>
        <n v="630.99399999999991"/>
        <n v="354.66199999999998"/>
        <n v="233.96799999999999"/>
        <n v="446.47399999999999"/>
        <n v="234.27599999999998"/>
        <n v="249.17199999999997"/>
        <n v="60.605999999999995"/>
        <n v="266.40599999999995"/>
        <n v="123.88599999999998"/>
        <n v="297.16399999999999"/>
        <n v="541.18399999999997"/>
        <n v="608.77599999999995"/>
        <n v="114.44999999999999"/>
        <n v="646.05799999999999"/>
        <n v="42.868000000000002"/>
        <n v="159.36199999999999"/>
        <n v="24.233999999999998"/>
        <n v="675.84999999999991"/>
        <n v="144.82999999999998"/>
        <n v="120.988"/>
        <n v="373.60399999999998"/>
        <n v="418.75400000000002"/>
        <n v="336.88199999999995"/>
        <n v="476.54599999999994"/>
        <n v="488.83799999999997"/>
        <n v="341.17999999999995"/>
        <n v="305.50799999999998"/>
        <n v="193.27"/>
        <n v="300.04799999999994"/>
        <n v="668.654"/>
        <n v="149.88399999999999"/>
        <n v="565.19399999999996"/>
        <n v="221.39599999999996"/>
        <n v="550.04599999999994"/>
        <n v="673.25999999999988"/>
        <n v="455.36399999999998"/>
        <n v="319.94200000000001"/>
        <n v="200.80199999999999"/>
        <n v="399.75600000000003"/>
        <n v="214.08799999999997"/>
        <n v="543.84399999999994"/>
        <n v="167.39799999999997"/>
        <n v="246.49799999999996"/>
        <n v="519.93200000000002"/>
        <n v="183.73599999999999"/>
        <n v="256.25599999999997"/>
        <n v="476.19599999999997"/>
        <n v="613.54999999999995"/>
        <n v="626.40199999999993"/>
        <n v="528.52799999999991"/>
        <n v="501.858"/>
        <n v="84.91"/>
        <n v="344.37199999999996"/>
        <n v="604.33799999999997"/>
        <n v="281.97399999999999"/>
      </sharedItems>
    </cacheField>
  </cacheFields>
  <extLst>
    <ext xmlns:x14="http://schemas.microsoft.com/office/spreadsheetml/2009/9/main" uri="{725AE2AE-9491-48be-B2B4-4EB974FC3084}">
      <x14:pivotCacheDefinition pivotCacheId="740083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360219560185" createdVersion="8" refreshedVersion="8" minRefreshableVersion="3" recordCount="100" xr:uid="{8C3CEDA1-0EC6-4EE8-B980-422D156232DB}">
  <cacheSource type="worksheet">
    <worksheetSource name="Table1"/>
  </cacheSource>
  <cacheFields count="11">
    <cacheField name="Product_ID" numFmtId="49">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49">
      <sharedItems/>
    </cacheField>
    <cacheField name="Category" numFmtId="49">
      <sharedItems/>
    </cacheField>
    <cacheField name="Sub_Category" numFmtId="49">
      <sharedItems/>
    </cacheField>
    <cacheField name="Brand" numFmtId="49">
      <sharedItems/>
    </cacheField>
    <cacheField name="Cost" numFmtId="164">
      <sharedItems containsSemiMixedTypes="0" containsString="0" containsNumber="1" minValue="17.309999999999999" maxValue="495.72"/>
    </cacheField>
    <cacheField name="Stock" numFmtId="164">
      <sharedItems containsSemiMixedTypes="0" containsString="0" containsNumber="1" minValue="57" maxValue="496"/>
    </cacheField>
    <cacheField name="Total Inventory Value" numFmtId="2">
      <sharedItems containsSemiMixedTypes="0" containsString="0" containsNumber="1" minValue="1112.6399999999999" maxValue="217372"/>
    </cacheField>
    <cacheField name="Stock Status" numFmtId="49">
      <sharedItems/>
    </cacheField>
    <cacheField name="Price Range" numFmtId="49">
      <sharedItems count="3">
        <s v="Low Budget"/>
        <s v="premium"/>
        <s v="Mid range"/>
      </sharedItems>
    </cacheField>
    <cacheField name="Estimate price" numFmtId="164">
      <sharedItems containsSemiMixedTypes="0" containsString="0" containsNumber="1" minValue="24.233999999999998" maxValue="694.00800000000004"/>
    </cacheField>
  </cacheFields>
  <extLst>
    <ext xmlns:x14="http://schemas.microsoft.com/office/spreadsheetml/2009/9/main" uri="{725AE2AE-9491-48be-B2B4-4EB974FC3084}">
      <x14:pivotCacheDefinition pivotCacheId="17510082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36939039352" createdVersion="8" refreshedVersion="8" minRefreshableVersion="3" recordCount="100" xr:uid="{4B9FE169-0132-46BF-A34C-0435F198CBE3}">
  <cacheSource type="worksheet">
    <worksheetSource name="Table1"/>
  </cacheSource>
  <cacheFields count="11">
    <cacheField name="Product_ID" numFmtId="49">
      <sharedItems/>
    </cacheField>
    <cacheField name="Product_name" numFmtId="49">
      <sharedItems/>
    </cacheField>
    <cacheField name="Category" numFmtId="49">
      <sharedItems count="5">
        <s v="Electronics"/>
        <s v="Clothing"/>
        <s v="Beauty"/>
        <s v="Home"/>
        <s v="Sports"/>
      </sharedItems>
    </cacheField>
    <cacheField name="Sub_Category" numFmtId="49">
      <sharedItems/>
    </cacheField>
    <cacheField name="Brand" numFmtId="49">
      <sharedItems/>
    </cacheField>
    <cacheField name="Cost" numFmtId="164">
      <sharedItems containsSemiMixedTypes="0" containsString="0" containsNumber="1" minValue="17.309999999999999" maxValue="495.72"/>
    </cacheField>
    <cacheField name="Stock" numFmtId="164">
      <sharedItems containsSemiMixedTypes="0" containsString="0" containsNumber="1" minValue="57" maxValue="496"/>
    </cacheField>
    <cacheField name="Total Inventory Value" numFmtId="2">
      <sharedItems containsSemiMixedTypes="0" containsString="0" containsNumber="1" minValue="1112.6399999999999" maxValue="217372"/>
    </cacheField>
    <cacheField name="Stock Status" numFmtId="49">
      <sharedItems/>
    </cacheField>
    <cacheField name="Price Range" numFmtId="49">
      <sharedItems count="3">
        <s v="Low Budget"/>
        <s v="premium"/>
        <s v="Mid range"/>
      </sharedItems>
    </cacheField>
    <cacheField name="Estimate price" numFmtId="164">
      <sharedItems containsSemiMixedTypes="0" containsString="0" containsNumber="1" minValue="24.233999999999998" maxValue="694.008000000000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406187615743" createdVersion="8" refreshedVersion="8" minRefreshableVersion="3" recordCount="100" xr:uid="{1750FB85-7676-4618-9FD9-021BB1C0F89E}">
  <cacheSource type="worksheet">
    <worksheetSource name="Table1"/>
  </cacheSource>
  <cacheFields count="11">
    <cacheField name="Product_ID" numFmtId="49">
      <sharedItems/>
    </cacheField>
    <cacheField name="Product_name" numFmtId="49">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49">
      <sharedItems count="5">
        <s v="Electronics"/>
        <s v="Clothing"/>
        <s v="Beauty"/>
        <s v="Home"/>
        <s v="Sports"/>
      </sharedItems>
    </cacheField>
    <cacheField name="Sub_Category" numFmtId="49">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49">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164">
      <sharedItems containsSemiMixedTypes="0" containsString="0" containsNumber="1" minValue="17.309999999999999" maxValue="495.72"/>
    </cacheField>
    <cacheField name="Stock" numFmtId="164">
      <sharedItems containsSemiMixedTypes="0" containsString="0" containsNumber="1" minValue="57" maxValue="496"/>
    </cacheField>
    <cacheField name="Total Inventory Value" numFmtId="2">
      <sharedItems containsSemiMixedTypes="0" containsString="0" containsNumber="1" minValue="1112.6399999999999" maxValue="217372"/>
    </cacheField>
    <cacheField name="Stock Status" numFmtId="49">
      <sharedItems/>
    </cacheField>
    <cacheField name="Price Range" numFmtId="49">
      <sharedItems count="3">
        <s v="Low Budget"/>
        <s v="premium"/>
        <s v="Mid range"/>
      </sharedItems>
    </cacheField>
    <cacheField name="Estimate price" numFmtId="164">
      <sharedItems containsSemiMixedTypes="0" containsString="0" containsNumber="1" minValue="24.233999999999998" maxValue="694.00800000000004"/>
    </cacheField>
  </cacheFields>
  <extLst>
    <ext xmlns:x14="http://schemas.microsoft.com/office/spreadsheetml/2009/9/main" uri="{725AE2AE-9491-48be-B2B4-4EB974FC3084}">
      <x14:pivotCacheDefinition pivotCacheId="552788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rother Laser Printer"/>
    <s v="Electronics"/>
    <s v="Computer"/>
    <s v="Hunt Inc"/>
    <n v="112.42"/>
    <n v="416"/>
    <n v="46766.720000000001"/>
    <s v="Available"/>
    <x v="0"/>
    <n v="157.38800000000001"/>
  </r>
  <r>
    <x v="1"/>
    <s v="Men'S Graphic T-Shirt"/>
    <s v="Clothing"/>
    <s v="Tops"/>
    <s v="Terry-Moore"/>
    <n v="342.56"/>
    <n v="181"/>
    <n v="62003.360000000001"/>
    <s v="Available"/>
    <x v="1"/>
    <n v="479.58399999999995"/>
  </r>
  <r>
    <x v="2"/>
    <s v="Women'S Casual Hoodie"/>
    <s v="Clothing"/>
    <s v="Outerwear"/>
    <s v="Sims Inc"/>
    <n v="254.04361702127662"/>
    <n v="352"/>
    <n v="89423.353191489368"/>
    <s v="Available"/>
    <x v="2"/>
    <n v="355.66106382978722"/>
  </r>
  <r>
    <x v="3"/>
    <s v="Men'S Running Jacket"/>
    <s v="Clothing"/>
    <s v="Outerwear"/>
    <s v="Pineda Ltd"/>
    <n v="364.67"/>
    <n v="452"/>
    <n v="164830.84"/>
    <s v="Available"/>
    <x v="1"/>
    <n v="510.53800000000001"/>
  </r>
  <r>
    <x v="4"/>
    <s v="Women'S Yoga Pants"/>
    <s v="Clothing"/>
    <s v="Bottoms"/>
    <s v="Gonzales-Davis"/>
    <n v="306.45999999999998"/>
    <n v="487"/>
    <n v="149246.01999999999"/>
    <s v="Available"/>
    <x v="1"/>
    <n v="429.04399999999993"/>
  </r>
  <r>
    <x v="5"/>
    <s v="Men'S Leather Belt"/>
    <s v="Clothing"/>
    <s v="Accessories"/>
    <s v="Baldwin, Garza And Gonzalez"/>
    <n v="261"/>
    <n v="59"/>
    <n v="15399"/>
    <s v="Low Stock"/>
    <x v="2"/>
    <n v="365.4"/>
  </r>
  <r>
    <x v="6"/>
    <s v="Herbal Face Moisturizer"/>
    <s v="Beauty"/>
    <s v="Skincare"/>
    <s v="Davidson Plc"/>
    <n v="312.8"/>
    <n v="350"/>
    <n v="109480"/>
    <s v="Available"/>
    <x v="1"/>
    <n v="437.92"/>
  </r>
  <r>
    <x v="7"/>
    <s v="Led Table Lamp"/>
    <s v="Home"/>
    <s v="Lighting"/>
    <s v="Harrell Llc"/>
    <n v="218.86"/>
    <n v="170"/>
    <n v="37206.200000000004"/>
    <s v="Available"/>
    <x v="2"/>
    <n v="306.404"/>
  </r>
  <r>
    <x v="8"/>
    <s v="Wireless Bluetooth Earbuds"/>
    <s v="Electronics"/>
    <s v="Audio"/>
    <s v="Perez-Johnston"/>
    <n v="439.07"/>
    <n v="142"/>
    <n v="62347.94"/>
    <s v="Available"/>
    <x v="1"/>
    <n v="614.69799999999998"/>
  </r>
  <r>
    <x v="9"/>
    <s v="Adjustable Dumbbell Set"/>
    <s v="Sports"/>
    <s v="Fitness"/>
    <s v="Hill Plc"/>
    <n v="495.72"/>
    <n v="323"/>
    <n v="160117.56"/>
    <s v="Available"/>
    <x v="1"/>
    <n v="694.00800000000004"/>
  </r>
  <r>
    <x v="10"/>
    <s v="Ceramic Kitchen Bowl Set"/>
    <s v="Home"/>
    <s v="Kitchen"/>
    <s v="Hamilton Group"/>
    <n v="298.86"/>
    <n v="308"/>
    <n v="92048.88"/>
    <s v="Available"/>
    <x v="2"/>
    <n v="418.404"/>
  </r>
  <r>
    <x v="11"/>
    <s v="Hd Smart Tv Stick"/>
    <s v="Electronics"/>
    <s v="Accessories"/>
    <s v="Gibson, Hobbs And Weaver"/>
    <n v="449.4"/>
    <n v="273.49484536082474"/>
    <n v="122908.58350515463"/>
    <s v="Available"/>
    <x v="1"/>
    <n v="629.16"/>
  </r>
  <r>
    <x v="12"/>
    <s v="Hair Strengthening Shampoo"/>
    <s v="Beauty"/>
    <s v="Haircare"/>
    <s v="Rice Llc"/>
    <n v="115.82"/>
    <n v="460"/>
    <n v="53277.2"/>
    <s v="Available"/>
    <x v="0"/>
    <n v="162.14799999999997"/>
  </r>
  <r>
    <x v="13"/>
    <s v="Usb-C Fast Charger"/>
    <s v="Electronics"/>
    <s v="Accessories"/>
    <s v="Dawson-Perkins"/>
    <n v="242.23"/>
    <n v="453"/>
    <n v="109730.19"/>
    <s v="Available"/>
    <x v="2"/>
    <n v="339.12199999999996"/>
  </r>
  <r>
    <x v="14"/>
    <s v="Decorative Wall Mirror"/>
    <s v="Home"/>
    <s v="Decor"/>
    <s v="Luna, Anderson And Bowman"/>
    <n v="48.01"/>
    <n v="439"/>
    <n v="21076.39"/>
    <s v="Available"/>
    <x v="0"/>
    <n v="67.213999999999999"/>
  </r>
  <r>
    <x v="15"/>
    <s v="4K Home Projector"/>
    <s v="Electronics"/>
    <s v="Appliances"/>
    <s v="Thomas Llc"/>
    <n v="465.34"/>
    <n v="301"/>
    <n v="140067.34"/>
    <s v="Available"/>
    <x v="1"/>
    <n v="651.47599999999989"/>
  </r>
  <r>
    <x v="16"/>
    <s v="Beard Grooming Kit"/>
    <s v="Beauty"/>
    <s v="Grooming"/>
    <s v="Erickson-Green"/>
    <n v="337.42"/>
    <n v="256"/>
    <n v="86379.520000000004"/>
    <s v="Available"/>
    <x v="1"/>
    <n v="472.38799999999998"/>
  </r>
  <r>
    <x v="17"/>
    <s v="Soccer Training Cone Set"/>
    <s v="Sports"/>
    <s v="Accessories"/>
    <s v="Ford, Murphy And Wilson"/>
    <n v="144.53"/>
    <n v="367"/>
    <n v="53042.51"/>
    <s v="Available"/>
    <x v="0"/>
    <n v="202.34199999999998"/>
  </r>
  <r>
    <x v="18"/>
    <s v="Women'S Denim Jeans"/>
    <s v="Clothing"/>
    <s v="Bottoms"/>
    <s v="Guerra-Hendrix"/>
    <n v="254.04361702127662"/>
    <n v="343"/>
    <n v="87136.960638297882"/>
    <s v="Available"/>
    <x v="2"/>
    <n v="355.66106382978722"/>
  </r>
  <r>
    <x v="19"/>
    <s v="Knee Support Brace"/>
    <s v="Sports"/>
    <s v="Equipment"/>
    <s v="May-Reese"/>
    <n v="21.34"/>
    <n v="65"/>
    <n v="1387.1"/>
    <s v="Low Stock"/>
    <x v="0"/>
    <n v="29.875999999999998"/>
  </r>
  <r>
    <x v="20"/>
    <s v="Outdoor Sports Water Bottle"/>
    <s v="Sports"/>
    <s v="Accessories"/>
    <s v="Soto-Ellis"/>
    <n v="131.51"/>
    <n v="273.49484536082474"/>
    <n v="35967.307113402057"/>
    <s v="Available"/>
    <x v="0"/>
    <n v="184.11399999999998"/>
  </r>
  <r>
    <x v="21"/>
    <s v="Multi-Purpose Storage Box"/>
    <s v="Home"/>
    <s v="Storage"/>
    <s v="Gardner-Montes"/>
    <n v="123.46"/>
    <n v="76"/>
    <n v="9382.9599999999991"/>
    <s v="Low Stock"/>
    <x v="0"/>
    <n v="172.84399999999999"/>
  </r>
  <r>
    <x v="22"/>
    <s v="Carbon Fiber Tennis Racket"/>
    <s v="Sports"/>
    <s v="Equipment"/>
    <s v="Flores, Pineda And Rodriguez"/>
    <n v="484.62"/>
    <n v="432"/>
    <n v="209355.84"/>
    <s v="Available"/>
    <x v="1"/>
    <n v="678.46799999999996"/>
  </r>
  <r>
    <x v="23"/>
    <s v="Men'S Formal Shirt"/>
    <s v="Clothing"/>
    <s v="Tops"/>
    <s v="Moon, Mora And Santos"/>
    <n v="254.04361702127662"/>
    <n v="360"/>
    <n v="91455.702127659577"/>
    <s v="Available"/>
    <x v="2"/>
    <n v="355.66106382978722"/>
  </r>
  <r>
    <x v="24"/>
    <s v="Foldable Camping Chair"/>
    <s v="Sports"/>
    <s v="Outdoor"/>
    <s v="Cook Ltd"/>
    <n v="166.06"/>
    <n v="340"/>
    <n v="56460.4"/>
    <s v="Available"/>
    <x v="0"/>
    <n v="232.48399999999998"/>
  </r>
  <r>
    <x v="25"/>
    <s v="Women'S Scarf Set"/>
    <s v="Clothing"/>
    <s v="Accessories"/>
    <s v="Brown And Sons"/>
    <n v="174.02"/>
    <n v="268"/>
    <n v="46637.36"/>
    <s v="Available"/>
    <x v="0"/>
    <n v="243.62799999999999"/>
  </r>
  <r>
    <x v="26"/>
    <s v="Wireless Bluetooth Speaker"/>
    <s v="Electronics"/>
    <s v="Audio"/>
    <s v="Reed-Schmidt"/>
    <n v="322.41000000000003"/>
    <n v="213"/>
    <n v="68673.33"/>
    <s v="Available"/>
    <x v="1"/>
    <n v="451.37400000000002"/>
  </r>
  <r>
    <x v="27"/>
    <s v="Decorative Floor Vase"/>
    <s v="Home"/>
    <s v="Decor"/>
    <s v="Khan, Jones And Paul"/>
    <n v="254.04361702127662"/>
    <n v="378"/>
    <n v="96028.487234042565"/>
    <s v="Available"/>
    <x v="2"/>
    <n v="355.66106382978722"/>
  </r>
  <r>
    <x v="28"/>
    <s v="Sports Stopwatch Timer"/>
    <s v="Sports"/>
    <s v="Accessories"/>
    <s v="Burns-Hansen"/>
    <n v="38.76"/>
    <n v="137"/>
    <n v="5310.12"/>
    <s v="Available"/>
    <x v="0"/>
    <n v="54.263999999999996"/>
  </r>
  <r>
    <x v="29"/>
    <s v="Fabric Sofa Throw Blanket"/>
    <s v="Home"/>
    <s v="Decor"/>
    <s v="Hoffman Group"/>
    <n v="218.48"/>
    <n v="276"/>
    <n v="60300.479999999996"/>
    <s v="Available"/>
    <x v="2"/>
    <n v="305.87199999999996"/>
  </r>
  <r>
    <x v="30"/>
    <s v="Stainless Steel Cutlery Set"/>
    <s v="Home"/>
    <s v="Kitchen"/>
    <s v="Stevens, Fernandez And Martin"/>
    <n v="19.52"/>
    <n v="57"/>
    <n v="1112.6399999999999"/>
    <s v="Low Stock"/>
    <x v="0"/>
    <n v="27.327999999999999"/>
  </r>
  <r>
    <x v="31"/>
    <s v="Basketball"/>
    <s v="Sports"/>
    <s v="Team Sports"/>
    <s v="Nolan-Snow"/>
    <n v="204.39"/>
    <n v="281"/>
    <n v="57433.59"/>
    <s v="Available"/>
    <x v="2"/>
    <n v="286.14599999999996"/>
  </r>
  <r>
    <x v="32"/>
    <s v="Vitamin C Face Serum"/>
    <s v="Beauty"/>
    <s v="Skincare"/>
    <s v="Griffin Ltd"/>
    <n v="283.83"/>
    <n v="244"/>
    <n v="69254.51999999999"/>
    <s v="Available"/>
    <x v="2"/>
    <n v="397.36199999999997"/>
  </r>
  <r>
    <x v="33"/>
    <s v="Modern Wall Clock"/>
    <s v="Home"/>
    <s v="Decor"/>
    <s v="Weiss-Watson"/>
    <n v="179.77"/>
    <n v="305"/>
    <n v="54829.850000000006"/>
    <s v="Available"/>
    <x v="0"/>
    <n v="251.678"/>
  </r>
  <r>
    <x v="34"/>
    <s v="Gaming Mechanical Keyboard"/>
    <s v="Electronics"/>
    <s v="Computer"/>
    <s v="Lucero Llc"/>
    <n v="419.28"/>
    <n v="86"/>
    <n v="36058.079999999994"/>
    <s v="Low Stock"/>
    <x v="1"/>
    <n v="586.99199999999996"/>
  </r>
  <r>
    <x v="35"/>
    <s v="Bedroom Table Lamp"/>
    <s v="Home"/>
    <s v="Lighting"/>
    <s v="Jones Llc"/>
    <n v="382.22"/>
    <n v="329"/>
    <n v="125750.38"/>
    <s v="Available"/>
    <x v="1"/>
    <n v="535.10800000000006"/>
  </r>
  <r>
    <x v="36"/>
    <s v="Women'S Summer Dress"/>
    <s v="Clothing"/>
    <s v="Tops"/>
    <s v="Smith-Mills"/>
    <n v="223.43"/>
    <n v="154"/>
    <n v="34408.22"/>
    <s v="Available"/>
    <x v="2"/>
    <n v="312.80199999999996"/>
  </r>
  <r>
    <x v="37"/>
    <s v="Men'S Casual Sneakers"/>
    <s v="Clothing"/>
    <s v="Footwear"/>
    <s v="Hogan-Lee"/>
    <n v="353.47"/>
    <n v="214"/>
    <n v="75642.58"/>
    <s v="Available"/>
    <x v="1"/>
    <n v="494.858"/>
  </r>
  <r>
    <x v="38"/>
    <s v="Sports Water Hydration Pack"/>
    <s v="Sports"/>
    <s v="Outdoor"/>
    <s v="Sims-Smith"/>
    <n v="135.61000000000001"/>
    <n v="394"/>
    <n v="53430.340000000004"/>
    <s v="Available"/>
    <x v="0"/>
    <n v="189.85400000000001"/>
  </r>
  <r>
    <x v="39"/>
    <s v="Portable Power Bank"/>
    <s v="Electronics"/>
    <s v="Mobile"/>
    <s v="Cummings And Sons"/>
    <n v="326.06"/>
    <n v="301"/>
    <n v="98144.06"/>
    <s v="Available"/>
    <x v="1"/>
    <n v="456.48399999999998"/>
  </r>
  <r>
    <x v="40"/>
    <s v="Noise-Canceling Headphones"/>
    <s v="Electronics"/>
    <s v="Audio"/>
    <s v="Taylor-Hart"/>
    <n v="38.520000000000003"/>
    <n v="378"/>
    <n v="14560.560000000001"/>
    <s v="Available"/>
    <x v="0"/>
    <n v="53.928000000000004"/>
  </r>
  <r>
    <x v="41"/>
    <s v="Yoga Exercise Mat"/>
    <s v="Sports"/>
    <s v="Fitness"/>
    <s v="Carroll, Long And Mendoza"/>
    <n v="313.26"/>
    <n v="369"/>
    <n v="115592.94"/>
    <s v="Available"/>
    <x v="1"/>
    <n v="438.56399999999996"/>
  </r>
  <r>
    <x v="42"/>
    <s v="Smart Home Wifi Camera"/>
    <s v="Electronics"/>
    <s v="Accessories"/>
    <s v="Holmes Llc"/>
    <n v="450.71"/>
    <n v="389"/>
    <n v="175326.19"/>
    <s v="Available"/>
    <x v="1"/>
    <n v="630.99399999999991"/>
  </r>
  <r>
    <x v="43"/>
    <s v="Usb External Hard Drive"/>
    <s v="Electronics"/>
    <s v="Computer"/>
    <s v="Robinson Inc"/>
    <n v="253.33"/>
    <n v="266"/>
    <n v="67385.78"/>
    <s v="Available"/>
    <x v="2"/>
    <n v="354.66199999999998"/>
  </r>
  <r>
    <x v="44"/>
    <s v="Adjustable Jump Rope"/>
    <s v="Sports"/>
    <s v="Fitness"/>
    <s v="Cox Inc"/>
    <n v="167.12"/>
    <n v="316"/>
    <n v="52809.919999999998"/>
    <s v="Available"/>
    <x v="0"/>
    <n v="233.96799999999999"/>
  </r>
  <r>
    <x v="45"/>
    <s v="High-Grip Football"/>
    <s v="Sports"/>
    <s v="Team Sports"/>
    <s v="Bridges, Banks And Cummings"/>
    <n v="318.91000000000003"/>
    <n v="114"/>
    <n v="36355.740000000005"/>
    <s v="Available"/>
    <x v="1"/>
    <n v="446.47399999999999"/>
  </r>
  <r>
    <x v="46"/>
    <s v="Men'S Winter Jacket"/>
    <s v="Clothing"/>
    <s v="Outerwear"/>
    <s v="Kelly, Smith And Perez"/>
    <n v="167.34"/>
    <n v="296"/>
    <n v="49532.639999999999"/>
    <s v="Available"/>
    <x v="0"/>
    <n v="234.27599999999998"/>
  </r>
  <r>
    <x v="47"/>
    <s v="Makeup Brush Set"/>
    <s v="Beauty"/>
    <s v="Makeup"/>
    <s v="Cook Inc"/>
    <n v="254.04361702127662"/>
    <n v="431"/>
    <n v="109492.79893617022"/>
    <s v="Available"/>
    <x v="2"/>
    <n v="355.66106382978722"/>
  </r>
  <r>
    <x v="48"/>
    <s v="Car Dashboard Phone Holder"/>
    <s v="Electronics"/>
    <s v="Accessories"/>
    <s v="Byrd, Stewart And Valdez"/>
    <n v="177.98"/>
    <n v="103"/>
    <n v="18331.939999999999"/>
    <s v="Available"/>
    <x v="0"/>
    <n v="249.17199999999997"/>
  </r>
  <r>
    <x v="49"/>
    <s v="Men'S Roll-On Perfume"/>
    <s v="Beauty"/>
    <s v="Fragrance"/>
    <s v="Sullivan And Sons"/>
    <n v="43.29"/>
    <n v="267"/>
    <n v="11558.43"/>
    <s v="Available"/>
    <x v="0"/>
    <n v="60.605999999999995"/>
  </r>
  <r>
    <x v="50"/>
    <s v="Boxing Hand Wraps"/>
    <s v="Sports"/>
    <s v="Fitness"/>
    <s v="Smith-King"/>
    <n v="190.29"/>
    <n v="260"/>
    <n v="49475.4"/>
    <s v="Available"/>
    <x v="0"/>
    <n v="266.40599999999995"/>
  </r>
  <r>
    <x v="51"/>
    <s v="Hdmi Cable – 2M"/>
    <s v="Electronics"/>
    <s v="Accessories"/>
    <s v="Bautista, Green And Hale"/>
    <n v="88.49"/>
    <n v="246"/>
    <n v="21768.539999999997"/>
    <s v="Available"/>
    <x v="0"/>
    <n v="123.88599999999998"/>
  </r>
  <r>
    <x v="52"/>
    <s v="Rugby Ball"/>
    <s v="Sports"/>
    <s v="Team Sports"/>
    <s v="Harris Inc"/>
    <n v="212.26"/>
    <n v="82"/>
    <n v="17405.32"/>
    <s v="Low Stock"/>
    <x v="2"/>
    <n v="297.16399999999999"/>
  </r>
  <r>
    <x v="53"/>
    <s v="Men'S Track Pants"/>
    <s v="Clothing"/>
    <s v="Bottoms"/>
    <s v="Hamilton, Woods And Walker"/>
    <n v="386.56"/>
    <n v="125"/>
    <n v="48320"/>
    <s v="Available"/>
    <x v="1"/>
    <n v="541.18399999999997"/>
  </r>
  <r>
    <x v="54"/>
    <s v="Sports Stopwatch Pro"/>
    <s v="Sports"/>
    <s v="Accessories"/>
    <s v="Thompson-French"/>
    <n v="434.84"/>
    <n v="185"/>
    <n v="80445.399999999994"/>
    <s v="Available"/>
    <x v="1"/>
    <n v="608.77599999999995"/>
  </r>
  <r>
    <x v="55"/>
    <s v="Ceramic Plant Pot"/>
    <s v="Home"/>
    <s v="Decor"/>
    <s v="Hatfield, Baird And Torres"/>
    <n v="81.75"/>
    <n v="273.49484536082474"/>
    <n v="22358.203608247422"/>
    <s v="Available"/>
    <x v="0"/>
    <n v="114.44999999999999"/>
  </r>
  <r>
    <x v="56"/>
    <s v="Premium Blanket Throw"/>
    <s v="Home"/>
    <s v="Decor"/>
    <s v="Hernandez, Kennedy And Porter"/>
    <n v="461.47"/>
    <n v="190"/>
    <n v="87679.3"/>
    <s v="Available"/>
    <x v="1"/>
    <n v="646.05799999999999"/>
  </r>
  <r>
    <x v="57"/>
    <s v="Foam Roller"/>
    <s v="Sports"/>
    <s v="Fitness"/>
    <s v="Atkinson, Camacho And Oliver"/>
    <n v="30.62"/>
    <n v="138"/>
    <n v="4225.5600000000004"/>
    <s v="Available"/>
    <x v="0"/>
    <n v="42.868000000000002"/>
  </r>
  <r>
    <x v="58"/>
    <s v="Womens Cotton Scarf"/>
    <s v="Clothing"/>
    <s v="Accessories"/>
    <s v="Shepherd-Gould"/>
    <n v="113.83"/>
    <n v="485"/>
    <n v="55207.549999999996"/>
    <s v="Available"/>
    <x v="0"/>
    <n v="159.36199999999999"/>
  </r>
  <r>
    <x v="59"/>
    <s v="Men'S Hair Styling Gel"/>
    <s v="Beauty"/>
    <s v="Haircare"/>
    <s v="Cline-Mccarthy"/>
    <n v="17.309999999999999"/>
    <n v="399"/>
    <n v="6906.69"/>
    <s v="Available"/>
    <x v="0"/>
    <n v="24.233999999999998"/>
  </r>
  <r>
    <x v="60"/>
    <s v="Luxury Perfume Spray"/>
    <s v="Beauty"/>
    <s v="Fragrance"/>
    <s v="Gibson, Green And Lopez"/>
    <n v="482.75"/>
    <n v="444"/>
    <n v="214341"/>
    <s v="Available"/>
    <x v="1"/>
    <n v="675.84999999999991"/>
  </r>
  <r>
    <x v="61"/>
    <s v="Tennis Ball 3-Pack"/>
    <s v="Sports"/>
    <s v="Equipment"/>
    <s v="Lopez Llc"/>
    <n v="103.45"/>
    <n v="465"/>
    <n v="48104.25"/>
    <s v="Available"/>
    <x v="0"/>
    <n v="144.82999999999998"/>
  </r>
  <r>
    <x v="62"/>
    <s v="Laptop Cooling Pad"/>
    <s v="Electronics"/>
    <s v="Computer"/>
    <s v="Murray, Gould And Ware"/>
    <n v="86.42"/>
    <n v="222"/>
    <n v="19185.240000000002"/>
    <s v="Available"/>
    <x v="0"/>
    <n v="120.988"/>
  </r>
  <r>
    <x v="63"/>
    <s v="Organic Sunscreen Lotion"/>
    <s v="Beauty"/>
    <s v="Skincare"/>
    <s v="Anderson-Riley"/>
    <n v="266.86"/>
    <n v="458"/>
    <n v="122221.88"/>
    <s v="Available"/>
    <x v="2"/>
    <n v="373.60399999999998"/>
  </r>
  <r>
    <x v="64"/>
    <s v="Matte Lipstick Set"/>
    <s v="Beauty"/>
    <s v="Makeup"/>
    <s v="Zhang Inc"/>
    <n v="299.11"/>
    <n v="118"/>
    <n v="35294.980000000003"/>
    <s v="Available"/>
    <x v="2"/>
    <n v="418.75400000000002"/>
  </r>
  <r>
    <x v="65"/>
    <s v="Adjustable Dumbbells 20Kg"/>
    <s v="Sports"/>
    <s v="Fitness"/>
    <s v="Montgomery, Benton And Miller"/>
    <n v="240.63"/>
    <n v="423"/>
    <n v="101786.49"/>
    <s v="Available"/>
    <x v="2"/>
    <n v="336.88199999999995"/>
  </r>
  <r>
    <x v="66"/>
    <s v="Women'S Hair Dryer Brush"/>
    <s v="Beauty"/>
    <s v="Haircare"/>
    <s v="Torres, Spencer And Potter"/>
    <n v="340.39"/>
    <n v="177"/>
    <n v="60249.03"/>
    <s v="Available"/>
    <x v="1"/>
    <n v="476.54599999999994"/>
  </r>
  <r>
    <x v="67"/>
    <s v="Smart Led Light Strip"/>
    <s v="Electronics"/>
    <s v="Accessories"/>
    <s v="Flores-Davis"/>
    <n v="349.17"/>
    <n v="476"/>
    <n v="166204.92000000001"/>
    <s v="Available"/>
    <x v="1"/>
    <n v="488.83799999999997"/>
  </r>
  <r>
    <x v="68"/>
    <s v="Wooden Nightstand"/>
    <s v="Home"/>
    <s v="Furniture"/>
    <s v="Wolfe, Ross And Hester"/>
    <n v="243.7"/>
    <n v="130"/>
    <n v="31681"/>
    <s v="Available"/>
    <x v="2"/>
    <n v="341.17999999999995"/>
  </r>
  <r>
    <x v="69"/>
    <s v="Men'S Sports Shorts"/>
    <s v="Clothing"/>
    <s v="Bottoms"/>
    <s v="Fitzpatrick Ltd"/>
    <n v="218.22"/>
    <n v="224"/>
    <n v="48881.279999999999"/>
    <s v="Available"/>
    <x v="2"/>
    <n v="305.50799999999998"/>
  </r>
  <r>
    <x v="70"/>
    <s v="Kitchen Storage Rack"/>
    <s v="Home"/>
    <s v="Storage"/>
    <s v="Duran Group"/>
    <n v="138.05000000000001"/>
    <n v="89"/>
    <n v="12286.45"/>
    <s v="Low Stock"/>
    <x v="0"/>
    <n v="193.27"/>
  </r>
  <r>
    <x v="71"/>
    <s v="Hair Repair Oil Treatment"/>
    <s v="Beauty"/>
    <s v="Haircare"/>
    <s v="Hopkins Ltd"/>
    <n v="214.32"/>
    <n v="383"/>
    <n v="82084.56"/>
    <s v="Available"/>
    <x v="2"/>
    <n v="300.04799999999994"/>
  </r>
  <r>
    <x v="72"/>
    <s v="Professional Jump Rope"/>
    <s v="Sports"/>
    <s v="Fitness"/>
    <s v="Davis Plc"/>
    <n v="477.61"/>
    <n v="300"/>
    <n v="143283"/>
    <s v="Available"/>
    <x v="1"/>
    <n v="668.654"/>
  </r>
  <r>
    <x v="73"/>
    <s v="Shin Guards – Adult"/>
    <s v="Sports"/>
    <s v="Team Sports"/>
    <s v="French Ltd"/>
    <n v="107.06"/>
    <n v="359"/>
    <n v="38434.54"/>
    <s v="Available"/>
    <x v="0"/>
    <n v="149.88399999999999"/>
  </r>
  <r>
    <x v="74"/>
    <s v="Bluetooth Car Audio System"/>
    <s v="Electronics"/>
    <s v="Audio"/>
    <s v="Bruce-Bowen"/>
    <n v="403.71"/>
    <n v="159"/>
    <n v="64189.89"/>
    <s v="Available"/>
    <x v="1"/>
    <n v="565.19399999999996"/>
  </r>
  <r>
    <x v="75"/>
    <s v="Women'S Ankle Boots"/>
    <s v="Clothing"/>
    <s v="Footwear"/>
    <s v="Poole Plc"/>
    <n v="158.13999999999999"/>
    <n v="82"/>
    <n v="12967.48"/>
    <s v="Low Stock"/>
    <x v="0"/>
    <n v="221.39599999999996"/>
  </r>
  <r>
    <x v="76"/>
    <s v="Wireless Mouse"/>
    <s v="Electronics"/>
    <s v="Computer"/>
    <s v="Larson Ltd"/>
    <n v="392.89"/>
    <n v="320"/>
    <n v="125724.79999999999"/>
    <s v="Available"/>
    <x v="1"/>
    <n v="550.04599999999994"/>
  </r>
  <r>
    <x v="77"/>
    <s v="Wifi Mesh Router"/>
    <s v="Electronics"/>
    <s v="Appliances"/>
    <s v="White, Reeves And Woods"/>
    <n v="480.9"/>
    <n v="104"/>
    <n v="50013.599999999999"/>
    <s v="Available"/>
    <x v="1"/>
    <n v="673.25999999999988"/>
  </r>
  <r>
    <x v="78"/>
    <s v="Essential Oil Diffuser"/>
    <s v="Home"/>
    <s v="Decor"/>
    <s v="Hernandez Inc"/>
    <n v="325.26"/>
    <n v="400"/>
    <n v="130104"/>
    <s v="Available"/>
    <x v="1"/>
    <n v="455.36399999999998"/>
  </r>
  <r>
    <x v="79"/>
    <s v="Decorative Lamp Shade"/>
    <s v="Home"/>
    <s v="Lighting"/>
    <s v="Ramirez-Hanson"/>
    <n v="228.53"/>
    <n v="469"/>
    <n v="107180.57"/>
    <s v="Available"/>
    <x v="2"/>
    <n v="319.94200000000001"/>
  </r>
  <r>
    <x v="80"/>
    <s v="Wall-Mounted Spice Rack"/>
    <s v="Home"/>
    <s v="Kitchen"/>
    <s v="Allison Ltd"/>
    <n v="143.43"/>
    <n v="58"/>
    <n v="8318.94"/>
    <s v="Low Stock"/>
    <x v="0"/>
    <n v="200.80199999999999"/>
  </r>
  <r>
    <x v="81"/>
    <s v="Badminton Racket Set"/>
    <s v="Sports"/>
    <s v="Equipment"/>
    <s v="Robinson-Brown"/>
    <n v="285.54000000000002"/>
    <n v="358"/>
    <n v="102223.32"/>
    <s v="Available"/>
    <x v="2"/>
    <n v="399.75600000000003"/>
  </r>
  <r>
    <x v="82"/>
    <s v="Fitness Resistance Bands"/>
    <s v="Sports"/>
    <s v="Fitness"/>
    <s v="Reese-Watson"/>
    <n v="152.91999999999999"/>
    <n v="281"/>
    <n v="42970.52"/>
    <s v="Available"/>
    <x v="0"/>
    <n v="214.08799999999997"/>
  </r>
  <r>
    <x v="83"/>
    <s v="Hydrating Face Cleanser"/>
    <s v="Beauty"/>
    <s v="Skincare"/>
    <s v="Butler Group"/>
    <n v="254.04361702127662"/>
    <n v="159"/>
    <n v="40392.935106382982"/>
    <s v="Available"/>
    <x v="2"/>
    <n v="355.66106382978722"/>
  </r>
  <r>
    <x v="84"/>
    <s v="Wooden Bookshelf"/>
    <s v="Home"/>
    <s v="Furniture"/>
    <s v="Collins-Stephenson"/>
    <n v="388.46"/>
    <n v="208"/>
    <n v="80799.679999999993"/>
    <s v="Available"/>
    <x v="1"/>
    <n v="543.84399999999994"/>
  </r>
  <r>
    <x v="85"/>
    <s v="Women'S Beanie Hat"/>
    <s v="Clothing"/>
    <s v="Accessories"/>
    <s v="Richardson-Carrillo"/>
    <n v="119.57"/>
    <n v="210"/>
    <n v="25109.699999999997"/>
    <s v="Available"/>
    <x v="0"/>
    <n v="167.39799999999997"/>
  </r>
  <r>
    <x v="86"/>
    <s v="Kitchen Cutting Board"/>
    <s v="Home"/>
    <s v="Kitchen"/>
    <s v="Taylor, Dodson And Johnston"/>
    <n v="176.07"/>
    <n v="82"/>
    <n v="14437.74"/>
    <s v="Low Stock"/>
    <x v="0"/>
    <n v="246.49799999999996"/>
  </r>
  <r>
    <x v="87"/>
    <s v="Led Bedside Lamp"/>
    <s v="Home"/>
    <s v="Lighting"/>
    <s v="Aguilar, Horton And Lewis"/>
    <n v="371.38"/>
    <n v="220"/>
    <n v="81703.600000000006"/>
    <s v="Available"/>
    <x v="1"/>
    <n v="519.93200000000002"/>
  </r>
  <r>
    <x v="88"/>
    <s v="Sports Wrist Sweatbands"/>
    <s v="Sports"/>
    <s v="Accessories"/>
    <s v="Olsen-Daniels"/>
    <n v="131.24"/>
    <n v="232"/>
    <n v="30447.68"/>
    <s v="Available"/>
    <x v="0"/>
    <n v="183.73599999999999"/>
  </r>
  <r>
    <x v="89"/>
    <s v="Face Foundation Kit"/>
    <s v="Beauty"/>
    <s v="Makeup"/>
    <s v="Taylor-Elliott"/>
    <n v="183.04"/>
    <n v="457"/>
    <n v="83649.279999999999"/>
    <s v="Available"/>
    <x v="0"/>
    <n v="256.25599999999997"/>
  </r>
  <r>
    <x v="90"/>
    <s v="Gaming Mouse Pad Xl"/>
    <s v="Electronics"/>
    <s v="Accessories"/>
    <s v="Sharp, Taylor And Rodriguez"/>
    <n v="340.14"/>
    <n v="361"/>
    <n v="122790.54"/>
    <s v="Available"/>
    <x v="1"/>
    <n v="476.19599999999997"/>
  </r>
  <r>
    <x v="91"/>
    <s v="Women'S High Heels"/>
    <s v="Clothing"/>
    <s v="Footwear"/>
    <s v="Smith-Charles"/>
    <n v="438.25"/>
    <n v="496"/>
    <n v="217372"/>
    <s v="Available"/>
    <x v="1"/>
    <n v="613.54999999999995"/>
  </r>
  <r>
    <x v="92"/>
    <s v="Microwave Oven"/>
    <s v="Home"/>
    <s v="Appliances"/>
    <s v="Green, Powell And Palmer"/>
    <n v="447.43"/>
    <n v="191"/>
    <n v="85459.13"/>
    <s v="Available"/>
    <x v="1"/>
    <n v="626.40199999999993"/>
  </r>
  <r>
    <x v="93"/>
    <s v="Usb-C Laptop Charger"/>
    <s v="Electronics"/>
    <s v="Computer"/>
    <s v="Martin Llc"/>
    <n v="377.52"/>
    <n v="485"/>
    <n v="183097.19999999998"/>
    <s v="Available"/>
    <x v="1"/>
    <n v="528.52799999999991"/>
  </r>
  <r>
    <x v="94"/>
    <s v="Vitamin E Body Lotion"/>
    <s v="Beauty"/>
    <s v="Skincare"/>
    <s v="Hoffman-Williams"/>
    <n v="358.47"/>
    <n v="213"/>
    <n v="76354.11"/>
    <s v="Available"/>
    <x v="1"/>
    <n v="501.858"/>
  </r>
  <r>
    <x v="95"/>
    <s v="Sports Stopwatch Basic"/>
    <s v="Sports"/>
    <s v="Accessories"/>
    <s v="Wilson Group"/>
    <n v="60.65"/>
    <n v="75"/>
    <n v="4548.75"/>
    <s v="Low Stock"/>
    <x v="0"/>
    <n v="84.91"/>
  </r>
  <r>
    <x v="96"/>
    <s v="Women'S Formal Blazer"/>
    <s v="Clothing"/>
    <s v="Outerwear"/>
    <s v="Phillips And Sons"/>
    <n v="358.47"/>
    <n v="143"/>
    <n v="51261.210000000006"/>
    <s v="Available"/>
    <x v="1"/>
    <n v="501.858"/>
  </r>
  <r>
    <x v="97"/>
    <s v="Cricket Bat"/>
    <s v="Sports"/>
    <s v="Team Sports"/>
    <s v="Khan Llc"/>
    <n v="245.98"/>
    <n v="471"/>
    <n v="115856.58"/>
    <s v="Available"/>
    <x v="2"/>
    <n v="344.37199999999996"/>
  </r>
  <r>
    <x v="98"/>
    <s v="Portable Bluetooth Speaker"/>
    <s v="Electronics"/>
    <s v="Audio"/>
    <s v="Flores-King"/>
    <n v="431.67"/>
    <n v="73"/>
    <n v="31511.91"/>
    <s v="Low Stock"/>
    <x v="1"/>
    <n v="604.33799999999997"/>
  </r>
  <r>
    <x v="99"/>
    <s v="Stainless Steel Cookware Set"/>
    <s v="Home"/>
    <s v="Kitchen"/>
    <s v="Campbell Ltd"/>
    <n v="201.41"/>
    <n v="146"/>
    <n v="29405.86"/>
    <s v="Available"/>
    <x v="2"/>
    <n v="281.973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s v="Electronics"/>
    <s v="Computer"/>
    <x v="0"/>
    <n v="112.42"/>
    <x v="0"/>
    <x v="0"/>
    <x v="0"/>
    <x v="0"/>
    <x v="0"/>
  </r>
  <r>
    <s v="PROD1"/>
    <x v="1"/>
    <s v="Clothing"/>
    <s v="Tops"/>
    <x v="1"/>
    <n v="342.56"/>
    <x v="1"/>
    <x v="1"/>
    <x v="0"/>
    <x v="1"/>
    <x v="1"/>
  </r>
  <r>
    <s v="PROD2"/>
    <x v="2"/>
    <s v="Clothing"/>
    <s v="Outerwear"/>
    <x v="2"/>
    <n v="254.04361702127662"/>
    <x v="2"/>
    <x v="2"/>
    <x v="0"/>
    <x v="2"/>
    <x v="2"/>
  </r>
  <r>
    <s v="PROD3"/>
    <x v="3"/>
    <s v="Clothing"/>
    <s v="Outerwear"/>
    <x v="3"/>
    <n v="364.67"/>
    <x v="3"/>
    <x v="3"/>
    <x v="0"/>
    <x v="1"/>
    <x v="3"/>
  </r>
  <r>
    <s v="PROD4"/>
    <x v="4"/>
    <s v="Clothing"/>
    <s v="Bottoms"/>
    <x v="4"/>
    <n v="306.45999999999998"/>
    <x v="4"/>
    <x v="4"/>
    <x v="0"/>
    <x v="1"/>
    <x v="4"/>
  </r>
  <r>
    <s v="PROD5"/>
    <x v="5"/>
    <s v="Clothing"/>
    <s v="Accessories"/>
    <x v="5"/>
    <n v="261"/>
    <x v="5"/>
    <x v="5"/>
    <x v="1"/>
    <x v="2"/>
    <x v="5"/>
  </r>
  <r>
    <s v="PROD6"/>
    <x v="6"/>
    <s v="Beauty"/>
    <s v="Skincare"/>
    <x v="6"/>
    <n v="312.8"/>
    <x v="6"/>
    <x v="6"/>
    <x v="0"/>
    <x v="1"/>
    <x v="6"/>
  </r>
  <r>
    <s v="PROD7"/>
    <x v="7"/>
    <s v="Home"/>
    <s v="Lighting"/>
    <x v="7"/>
    <n v="218.86"/>
    <x v="7"/>
    <x v="7"/>
    <x v="0"/>
    <x v="2"/>
    <x v="7"/>
  </r>
  <r>
    <s v="PROD8"/>
    <x v="8"/>
    <s v="Electronics"/>
    <s v="Audio"/>
    <x v="8"/>
    <n v="439.07"/>
    <x v="8"/>
    <x v="8"/>
    <x v="0"/>
    <x v="1"/>
    <x v="8"/>
  </r>
  <r>
    <s v="PROD9"/>
    <x v="9"/>
    <s v="Sports"/>
    <s v="Fitness"/>
    <x v="9"/>
    <n v="495.72"/>
    <x v="9"/>
    <x v="9"/>
    <x v="0"/>
    <x v="1"/>
    <x v="9"/>
  </r>
  <r>
    <s v="PROD10"/>
    <x v="10"/>
    <s v="Home"/>
    <s v="Kitchen"/>
    <x v="10"/>
    <n v="298.86"/>
    <x v="10"/>
    <x v="10"/>
    <x v="0"/>
    <x v="2"/>
    <x v="10"/>
  </r>
  <r>
    <s v="PROD11"/>
    <x v="11"/>
    <s v="Electronics"/>
    <s v="Accessories"/>
    <x v="11"/>
    <n v="449.4"/>
    <x v="11"/>
    <x v="11"/>
    <x v="0"/>
    <x v="1"/>
    <x v="11"/>
  </r>
  <r>
    <s v="PROD12"/>
    <x v="12"/>
    <s v="Beauty"/>
    <s v="Haircare"/>
    <x v="12"/>
    <n v="115.82"/>
    <x v="12"/>
    <x v="12"/>
    <x v="0"/>
    <x v="0"/>
    <x v="12"/>
  </r>
  <r>
    <s v="PROD13"/>
    <x v="13"/>
    <s v="Electronics"/>
    <s v="Accessories"/>
    <x v="13"/>
    <n v="242.23"/>
    <x v="13"/>
    <x v="13"/>
    <x v="0"/>
    <x v="2"/>
    <x v="13"/>
  </r>
  <r>
    <s v="PROD14"/>
    <x v="14"/>
    <s v="Home"/>
    <s v="Decor"/>
    <x v="14"/>
    <n v="48.01"/>
    <x v="14"/>
    <x v="14"/>
    <x v="0"/>
    <x v="0"/>
    <x v="14"/>
  </r>
  <r>
    <s v="PROD15"/>
    <x v="15"/>
    <s v="Electronics"/>
    <s v="Appliances"/>
    <x v="15"/>
    <n v="465.34"/>
    <x v="15"/>
    <x v="15"/>
    <x v="0"/>
    <x v="1"/>
    <x v="15"/>
  </r>
  <r>
    <s v="PROD16"/>
    <x v="16"/>
    <s v="Beauty"/>
    <s v="Grooming"/>
    <x v="16"/>
    <n v="337.42"/>
    <x v="16"/>
    <x v="16"/>
    <x v="0"/>
    <x v="1"/>
    <x v="16"/>
  </r>
  <r>
    <s v="PROD17"/>
    <x v="17"/>
    <s v="Sports"/>
    <s v="Accessories"/>
    <x v="17"/>
    <n v="144.53"/>
    <x v="17"/>
    <x v="17"/>
    <x v="0"/>
    <x v="0"/>
    <x v="17"/>
  </r>
  <r>
    <s v="PROD18"/>
    <x v="18"/>
    <s v="Clothing"/>
    <s v="Bottoms"/>
    <x v="18"/>
    <n v="254.04361702127662"/>
    <x v="18"/>
    <x v="18"/>
    <x v="0"/>
    <x v="2"/>
    <x v="2"/>
  </r>
  <r>
    <s v="PROD19"/>
    <x v="19"/>
    <s v="Sports"/>
    <s v="Equipment"/>
    <x v="19"/>
    <n v="21.34"/>
    <x v="19"/>
    <x v="19"/>
    <x v="1"/>
    <x v="0"/>
    <x v="18"/>
  </r>
  <r>
    <s v="PROD20"/>
    <x v="20"/>
    <s v="Sports"/>
    <s v="Accessories"/>
    <x v="20"/>
    <n v="131.51"/>
    <x v="11"/>
    <x v="20"/>
    <x v="0"/>
    <x v="0"/>
    <x v="19"/>
  </r>
  <r>
    <s v="PROD21"/>
    <x v="21"/>
    <s v="Home"/>
    <s v="Storage"/>
    <x v="21"/>
    <n v="123.46"/>
    <x v="20"/>
    <x v="21"/>
    <x v="1"/>
    <x v="0"/>
    <x v="20"/>
  </r>
  <r>
    <s v="PROD22"/>
    <x v="22"/>
    <s v="Sports"/>
    <s v="Equipment"/>
    <x v="22"/>
    <n v="484.62"/>
    <x v="21"/>
    <x v="22"/>
    <x v="0"/>
    <x v="1"/>
    <x v="21"/>
  </r>
  <r>
    <s v="PROD23"/>
    <x v="23"/>
    <s v="Clothing"/>
    <s v="Tops"/>
    <x v="23"/>
    <n v="254.04361702127662"/>
    <x v="22"/>
    <x v="23"/>
    <x v="0"/>
    <x v="2"/>
    <x v="2"/>
  </r>
  <r>
    <s v="PROD24"/>
    <x v="24"/>
    <s v="Sports"/>
    <s v="Outdoor"/>
    <x v="24"/>
    <n v="166.06"/>
    <x v="23"/>
    <x v="24"/>
    <x v="0"/>
    <x v="0"/>
    <x v="22"/>
  </r>
  <r>
    <s v="PROD25"/>
    <x v="25"/>
    <s v="Clothing"/>
    <s v="Accessories"/>
    <x v="25"/>
    <n v="174.02"/>
    <x v="24"/>
    <x v="25"/>
    <x v="0"/>
    <x v="0"/>
    <x v="23"/>
  </r>
  <r>
    <s v="PROD26"/>
    <x v="26"/>
    <s v="Electronics"/>
    <s v="Audio"/>
    <x v="26"/>
    <n v="322.41000000000003"/>
    <x v="25"/>
    <x v="26"/>
    <x v="0"/>
    <x v="1"/>
    <x v="24"/>
  </r>
  <r>
    <s v="PROD27"/>
    <x v="27"/>
    <s v="Home"/>
    <s v="Decor"/>
    <x v="27"/>
    <n v="254.04361702127662"/>
    <x v="26"/>
    <x v="27"/>
    <x v="0"/>
    <x v="2"/>
    <x v="2"/>
  </r>
  <r>
    <s v="PROD28"/>
    <x v="28"/>
    <s v="Sports"/>
    <s v="Accessories"/>
    <x v="28"/>
    <n v="38.76"/>
    <x v="27"/>
    <x v="28"/>
    <x v="0"/>
    <x v="0"/>
    <x v="25"/>
  </r>
  <r>
    <s v="PROD29"/>
    <x v="29"/>
    <s v="Home"/>
    <s v="Decor"/>
    <x v="29"/>
    <n v="218.48"/>
    <x v="28"/>
    <x v="29"/>
    <x v="0"/>
    <x v="2"/>
    <x v="26"/>
  </r>
  <r>
    <s v="PROD30"/>
    <x v="30"/>
    <s v="Home"/>
    <s v="Kitchen"/>
    <x v="30"/>
    <n v="19.52"/>
    <x v="29"/>
    <x v="30"/>
    <x v="1"/>
    <x v="0"/>
    <x v="27"/>
  </r>
  <r>
    <s v="PROD31"/>
    <x v="31"/>
    <s v="Sports"/>
    <s v="Team Sports"/>
    <x v="31"/>
    <n v="204.39"/>
    <x v="30"/>
    <x v="31"/>
    <x v="0"/>
    <x v="2"/>
    <x v="28"/>
  </r>
  <r>
    <s v="PROD32"/>
    <x v="32"/>
    <s v="Beauty"/>
    <s v="Skincare"/>
    <x v="32"/>
    <n v="283.83"/>
    <x v="31"/>
    <x v="32"/>
    <x v="0"/>
    <x v="2"/>
    <x v="29"/>
  </r>
  <r>
    <s v="PROD33"/>
    <x v="33"/>
    <s v="Home"/>
    <s v="Decor"/>
    <x v="33"/>
    <n v="179.77"/>
    <x v="32"/>
    <x v="33"/>
    <x v="0"/>
    <x v="0"/>
    <x v="30"/>
  </r>
  <r>
    <s v="PROD34"/>
    <x v="34"/>
    <s v="Electronics"/>
    <s v="Computer"/>
    <x v="34"/>
    <n v="419.28"/>
    <x v="33"/>
    <x v="34"/>
    <x v="1"/>
    <x v="1"/>
    <x v="31"/>
  </r>
  <r>
    <s v="PROD35"/>
    <x v="35"/>
    <s v="Home"/>
    <s v="Lighting"/>
    <x v="35"/>
    <n v="382.22"/>
    <x v="34"/>
    <x v="35"/>
    <x v="0"/>
    <x v="1"/>
    <x v="32"/>
  </r>
  <r>
    <s v="PROD36"/>
    <x v="36"/>
    <s v="Clothing"/>
    <s v="Tops"/>
    <x v="36"/>
    <n v="223.43"/>
    <x v="35"/>
    <x v="36"/>
    <x v="0"/>
    <x v="2"/>
    <x v="33"/>
  </r>
  <r>
    <s v="PROD37"/>
    <x v="37"/>
    <s v="Clothing"/>
    <s v="Footwear"/>
    <x v="37"/>
    <n v="353.47"/>
    <x v="36"/>
    <x v="37"/>
    <x v="0"/>
    <x v="1"/>
    <x v="34"/>
  </r>
  <r>
    <s v="PROD38"/>
    <x v="38"/>
    <s v="Sports"/>
    <s v="Outdoor"/>
    <x v="38"/>
    <n v="135.61000000000001"/>
    <x v="37"/>
    <x v="38"/>
    <x v="0"/>
    <x v="0"/>
    <x v="35"/>
  </r>
  <r>
    <s v="PROD39"/>
    <x v="39"/>
    <s v="Electronics"/>
    <s v="Mobile"/>
    <x v="39"/>
    <n v="326.06"/>
    <x v="15"/>
    <x v="39"/>
    <x v="0"/>
    <x v="1"/>
    <x v="36"/>
  </r>
  <r>
    <s v="PROD40"/>
    <x v="40"/>
    <s v="Electronics"/>
    <s v="Audio"/>
    <x v="40"/>
    <n v="38.520000000000003"/>
    <x v="26"/>
    <x v="40"/>
    <x v="0"/>
    <x v="0"/>
    <x v="37"/>
  </r>
  <r>
    <s v="PROD41"/>
    <x v="41"/>
    <s v="Sports"/>
    <s v="Fitness"/>
    <x v="41"/>
    <n v="313.26"/>
    <x v="38"/>
    <x v="41"/>
    <x v="0"/>
    <x v="1"/>
    <x v="38"/>
  </r>
  <r>
    <s v="PROD42"/>
    <x v="42"/>
    <s v="Electronics"/>
    <s v="Accessories"/>
    <x v="42"/>
    <n v="450.71"/>
    <x v="39"/>
    <x v="42"/>
    <x v="0"/>
    <x v="1"/>
    <x v="39"/>
  </r>
  <r>
    <s v="PROD43"/>
    <x v="43"/>
    <s v="Electronics"/>
    <s v="Computer"/>
    <x v="43"/>
    <n v="253.33"/>
    <x v="40"/>
    <x v="43"/>
    <x v="0"/>
    <x v="2"/>
    <x v="40"/>
  </r>
  <r>
    <s v="PROD44"/>
    <x v="44"/>
    <s v="Sports"/>
    <s v="Fitness"/>
    <x v="44"/>
    <n v="167.12"/>
    <x v="41"/>
    <x v="44"/>
    <x v="0"/>
    <x v="0"/>
    <x v="41"/>
  </r>
  <r>
    <s v="PROD45"/>
    <x v="45"/>
    <s v="Sports"/>
    <s v="Team Sports"/>
    <x v="45"/>
    <n v="318.91000000000003"/>
    <x v="42"/>
    <x v="45"/>
    <x v="0"/>
    <x v="1"/>
    <x v="42"/>
  </r>
  <r>
    <s v="PROD46"/>
    <x v="46"/>
    <s v="Clothing"/>
    <s v="Outerwear"/>
    <x v="46"/>
    <n v="167.34"/>
    <x v="43"/>
    <x v="46"/>
    <x v="0"/>
    <x v="0"/>
    <x v="43"/>
  </r>
  <r>
    <s v="PROD47"/>
    <x v="47"/>
    <s v="Beauty"/>
    <s v="Makeup"/>
    <x v="47"/>
    <n v="254.04361702127662"/>
    <x v="44"/>
    <x v="47"/>
    <x v="0"/>
    <x v="2"/>
    <x v="2"/>
  </r>
  <r>
    <s v="PROD48"/>
    <x v="48"/>
    <s v="Electronics"/>
    <s v="Accessories"/>
    <x v="48"/>
    <n v="177.98"/>
    <x v="45"/>
    <x v="48"/>
    <x v="0"/>
    <x v="0"/>
    <x v="44"/>
  </r>
  <r>
    <s v="PROD49"/>
    <x v="49"/>
    <s v="Beauty"/>
    <s v="Fragrance"/>
    <x v="49"/>
    <n v="43.29"/>
    <x v="46"/>
    <x v="49"/>
    <x v="0"/>
    <x v="0"/>
    <x v="45"/>
  </r>
  <r>
    <s v="PROD50"/>
    <x v="50"/>
    <s v="Sports"/>
    <s v="Fitness"/>
    <x v="50"/>
    <n v="190.29"/>
    <x v="47"/>
    <x v="50"/>
    <x v="0"/>
    <x v="0"/>
    <x v="46"/>
  </r>
  <r>
    <s v="PROD51"/>
    <x v="51"/>
    <s v="Electronics"/>
    <s v="Accessories"/>
    <x v="51"/>
    <n v="88.49"/>
    <x v="48"/>
    <x v="51"/>
    <x v="0"/>
    <x v="0"/>
    <x v="47"/>
  </r>
  <r>
    <s v="PROD52"/>
    <x v="52"/>
    <s v="Sports"/>
    <s v="Team Sports"/>
    <x v="52"/>
    <n v="212.26"/>
    <x v="49"/>
    <x v="52"/>
    <x v="1"/>
    <x v="2"/>
    <x v="48"/>
  </r>
  <r>
    <s v="PROD53"/>
    <x v="53"/>
    <s v="Clothing"/>
    <s v="Bottoms"/>
    <x v="53"/>
    <n v="386.56"/>
    <x v="50"/>
    <x v="53"/>
    <x v="0"/>
    <x v="1"/>
    <x v="49"/>
  </r>
  <r>
    <s v="PROD54"/>
    <x v="54"/>
    <s v="Sports"/>
    <s v="Accessories"/>
    <x v="54"/>
    <n v="434.84"/>
    <x v="51"/>
    <x v="54"/>
    <x v="0"/>
    <x v="1"/>
    <x v="50"/>
  </r>
  <r>
    <s v="PROD55"/>
    <x v="55"/>
    <s v="Home"/>
    <s v="Decor"/>
    <x v="55"/>
    <n v="81.75"/>
    <x v="11"/>
    <x v="55"/>
    <x v="0"/>
    <x v="0"/>
    <x v="51"/>
  </r>
  <r>
    <s v="PROD56"/>
    <x v="56"/>
    <s v="Home"/>
    <s v="Decor"/>
    <x v="56"/>
    <n v="461.47"/>
    <x v="52"/>
    <x v="56"/>
    <x v="0"/>
    <x v="1"/>
    <x v="52"/>
  </r>
  <r>
    <s v="PROD57"/>
    <x v="57"/>
    <s v="Sports"/>
    <s v="Fitness"/>
    <x v="57"/>
    <n v="30.62"/>
    <x v="53"/>
    <x v="57"/>
    <x v="0"/>
    <x v="0"/>
    <x v="53"/>
  </r>
  <r>
    <s v="PROD58"/>
    <x v="58"/>
    <s v="Clothing"/>
    <s v="Accessories"/>
    <x v="58"/>
    <n v="113.83"/>
    <x v="54"/>
    <x v="58"/>
    <x v="0"/>
    <x v="0"/>
    <x v="54"/>
  </r>
  <r>
    <s v="PROD59"/>
    <x v="59"/>
    <s v="Beauty"/>
    <s v="Haircare"/>
    <x v="59"/>
    <n v="17.309999999999999"/>
    <x v="55"/>
    <x v="59"/>
    <x v="0"/>
    <x v="0"/>
    <x v="55"/>
  </r>
  <r>
    <s v="PROD60"/>
    <x v="60"/>
    <s v="Beauty"/>
    <s v="Fragrance"/>
    <x v="60"/>
    <n v="482.75"/>
    <x v="56"/>
    <x v="60"/>
    <x v="0"/>
    <x v="1"/>
    <x v="56"/>
  </r>
  <r>
    <s v="PROD61"/>
    <x v="61"/>
    <s v="Sports"/>
    <s v="Equipment"/>
    <x v="61"/>
    <n v="103.45"/>
    <x v="57"/>
    <x v="61"/>
    <x v="0"/>
    <x v="0"/>
    <x v="57"/>
  </r>
  <r>
    <s v="PROD62"/>
    <x v="62"/>
    <s v="Electronics"/>
    <s v="Computer"/>
    <x v="62"/>
    <n v="86.42"/>
    <x v="58"/>
    <x v="62"/>
    <x v="0"/>
    <x v="0"/>
    <x v="58"/>
  </r>
  <r>
    <s v="PROD63"/>
    <x v="63"/>
    <s v="Beauty"/>
    <s v="Skincare"/>
    <x v="63"/>
    <n v="266.86"/>
    <x v="59"/>
    <x v="63"/>
    <x v="0"/>
    <x v="2"/>
    <x v="59"/>
  </r>
  <r>
    <s v="PROD64"/>
    <x v="64"/>
    <s v="Beauty"/>
    <s v="Makeup"/>
    <x v="64"/>
    <n v="299.11"/>
    <x v="60"/>
    <x v="64"/>
    <x v="0"/>
    <x v="2"/>
    <x v="60"/>
  </r>
  <r>
    <s v="PROD65"/>
    <x v="65"/>
    <s v="Sports"/>
    <s v="Fitness"/>
    <x v="65"/>
    <n v="240.63"/>
    <x v="61"/>
    <x v="65"/>
    <x v="0"/>
    <x v="2"/>
    <x v="61"/>
  </r>
  <r>
    <s v="PROD66"/>
    <x v="66"/>
    <s v="Beauty"/>
    <s v="Haircare"/>
    <x v="66"/>
    <n v="340.39"/>
    <x v="62"/>
    <x v="66"/>
    <x v="0"/>
    <x v="1"/>
    <x v="62"/>
  </r>
  <r>
    <s v="PROD67"/>
    <x v="67"/>
    <s v="Electronics"/>
    <s v="Accessories"/>
    <x v="67"/>
    <n v="349.17"/>
    <x v="63"/>
    <x v="67"/>
    <x v="0"/>
    <x v="1"/>
    <x v="63"/>
  </r>
  <r>
    <s v="PROD68"/>
    <x v="68"/>
    <s v="Home"/>
    <s v="Furniture"/>
    <x v="68"/>
    <n v="243.7"/>
    <x v="64"/>
    <x v="68"/>
    <x v="0"/>
    <x v="2"/>
    <x v="64"/>
  </r>
  <r>
    <s v="PROD69"/>
    <x v="69"/>
    <s v="Clothing"/>
    <s v="Bottoms"/>
    <x v="69"/>
    <n v="218.22"/>
    <x v="65"/>
    <x v="69"/>
    <x v="0"/>
    <x v="2"/>
    <x v="65"/>
  </r>
  <r>
    <s v="PROD70"/>
    <x v="70"/>
    <s v="Home"/>
    <s v="Storage"/>
    <x v="70"/>
    <n v="138.05000000000001"/>
    <x v="66"/>
    <x v="70"/>
    <x v="1"/>
    <x v="0"/>
    <x v="66"/>
  </r>
  <r>
    <s v="PROD71"/>
    <x v="71"/>
    <s v="Beauty"/>
    <s v="Haircare"/>
    <x v="71"/>
    <n v="214.32"/>
    <x v="67"/>
    <x v="71"/>
    <x v="0"/>
    <x v="2"/>
    <x v="67"/>
  </r>
  <r>
    <s v="PROD72"/>
    <x v="72"/>
    <s v="Sports"/>
    <s v="Fitness"/>
    <x v="72"/>
    <n v="477.61"/>
    <x v="68"/>
    <x v="72"/>
    <x v="0"/>
    <x v="1"/>
    <x v="68"/>
  </r>
  <r>
    <s v="PROD73"/>
    <x v="73"/>
    <s v="Sports"/>
    <s v="Team Sports"/>
    <x v="73"/>
    <n v="107.06"/>
    <x v="69"/>
    <x v="73"/>
    <x v="0"/>
    <x v="0"/>
    <x v="69"/>
  </r>
  <r>
    <s v="PROD74"/>
    <x v="74"/>
    <s v="Electronics"/>
    <s v="Audio"/>
    <x v="74"/>
    <n v="403.71"/>
    <x v="70"/>
    <x v="74"/>
    <x v="0"/>
    <x v="1"/>
    <x v="70"/>
  </r>
  <r>
    <s v="PROD75"/>
    <x v="75"/>
    <s v="Clothing"/>
    <s v="Footwear"/>
    <x v="75"/>
    <n v="158.13999999999999"/>
    <x v="49"/>
    <x v="75"/>
    <x v="1"/>
    <x v="0"/>
    <x v="71"/>
  </r>
  <r>
    <s v="PROD76"/>
    <x v="76"/>
    <s v="Electronics"/>
    <s v="Computer"/>
    <x v="76"/>
    <n v="392.89"/>
    <x v="71"/>
    <x v="76"/>
    <x v="0"/>
    <x v="1"/>
    <x v="72"/>
  </r>
  <r>
    <s v="PROD77"/>
    <x v="77"/>
    <s v="Electronics"/>
    <s v="Appliances"/>
    <x v="77"/>
    <n v="480.9"/>
    <x v="72"/>
    <x v="77"/>
    <x v="0"/>
    <x v="1"/>
    <x v="73"/>
  </r>
  <r>
    <s v="PROD78"/>
    <x v="78"/>
    <s v="Home"/>
    <s v="Decor"/>
    <x v="78"/>
    <n v="325.26"/>
    <x v="73"/>
    <x v="78"/>
    <x v="0"/>
    <x v="1"/>
    <x v="74"/>
  </r>
  <r>
    <s v="PROD79"/>
    <x v="79"/>
    <s v="Home"/>
    <s v="Lighting"/>
    <x v="79"/>
    <n v="228.53"/>
    <x v="74"/>
    <x v="79"/>
    <x v="0"/>
    <x v="2"/>
    <x v="75"/>
  </r>
  <r>
    <s v="PROD80"/>
    <x v="80"/>
    <s v="Home"/>
    <s v="Kitchen"/>
    <x v="80"/>
    <n v="143.43"/>
    <x v="75"/>
    <x v="80"/>
    <x v="1"/>
    <x v="0"/>
    <x v="76"/>
  </r>
  <r>
    <s v="PROD81"/>
    <x v="81"/>
    <s v="Sports"/>
    <s v="Equipment"/>
    <x v="81"/>
    <n v="285.54000000000002"/>
    <x v="76"/>
    <x v="81"/>
    <x v="0"/>
    <x v="2"/>
    <x v="77"/>
  </r>
  <r>
    <s v="PROD82"/>
    <x v="82"/>
    <s v="Sports"/>
    <s v="Fitness"/>
    <x v="82"/>
    <n v="152.91999999999999"/>
    <x v="30"/>
    <x v="82"/>
    <x v="0"/>
    <x v="0"/>
    <x v="78"/>
  </r>
  <r>
    <s v="PROD83"/>
    <x v="83"/>
    <s v="Beauty"/>
    <s v="Skincare"/>
    <x v="83"/>
    <n v="254.04361702127662"/>
    <x v="70"/>
    <x v="83"/>
    <x v="0"/>
    <x v="2"/>
    <x v="2"/>
  </r>
  <r>
    <s v="PROD84"/>
    <x v="84"/>
    <s v="Home"/>
    <s v="Furniture"/>
    <x v="84"/>
    <n v="388.46"/>
    <x v="77"/>
    <x v="84"/>
    <x v="0"/>
    <x v="1"/>
    <x v="79"/>
  </r>
  <r>
    <s v="PROD85"/>
    <x v="85"/>
    <s v="Clothing"/>
    <s v="Accessories"/>
    <x v="85"/>
    <n v="119.57"/>
    <x v="78"/>
    <x v="85"/>
    <x v="0"/>
    <x v="0"/>
    <x v="80"/>
  </r>
  <r>
    <s v="PROD86"/>
    <x v="86"/>
    <s v="Home"/>
    <s v="Kitchen"/>
    <x v="86"/>
    <n v="176.07"/>
    <x v="49"/>
    <x v="86"/>
    <x v="1"/>
    <x v="0"/>
    <x v="81"/>
  </r>
  <r>
    <s v="PROD87"/>
    <x v="87"/>
    <s v="Home"/>
    <s v="Lighting"/>
    <x v="87"/>
    <n v="371.38"/>
    <x v="79"/>
    <x v="87"/>
    <x v="0"/>
    <x v="1"/>
    <x v="82"/>
  </r>
  <r>
    <s v="PROD88"/>
    <x v="88"/>
    <s v="Sports"/>
    <s v="Accessories"/>
    <x v="88"/>
    <n v="131.24"/>
    <x v="80"/>
    <x v="88"/>
    <x v="0"/>
    <x v="0"/>
    <x v="83"/>
  </r>
  <r>
    <s v="PROD89"/>
    <x v="89"/>
    <s v="Beauty"/>
    <s v="Makeup"/>
    <x v="89"/>
    <n v="183.04"/>
    <x v="81"/>
    <x v="89"/>
    <x v="0"/>
    <x v="0"/>
    <x v="84"/>
  </r>
  <r>
    <s v="PROD90"/>
    <x v="90"/>
    <s v="Electronics"/>
    <s v="Accessories"/>
    <x v="90"/>
    <n v="340.14"/>
    <x v="82"/>
    <x v="90"/>
    <x v="0"/>
    <x v="1"/>
    <x v="85"/>
  </r>
  <r>
    <s v="PROD91"/>
    <x v="91"/>
    <s v="Clothing"/>
    <s v="Footwear"/>
    <x v="91"/>
    <n v="438.25"/>
    <x v="83"/>
    <x v="91"/>
    <x v="0"/>
    <x v="1"/>
    <x v="86"/>
  </r>
  <r>
    <s v="PROD92"/>
    <x v="92"/>
    <s v="Home"/>
    <s v="Appliances"/>
    <x v="92"/>
    <n v="447.43"/>
    <x v="84"/>
    <x v="92"/>
    <x v="0"/>
    <x v="1"/>
    <x v="87"/>
  </r>
  <r>
    <s v="PROD93"/>
    <x v="93"/>
    <s v="Electronics"/>
    <s v="Computer"/>
    <x v="93"/>
    <n v="377.52"/>
    <x v="54"/>
    <x v="93"/>
    <x v="0"/>
    <x v="1"/>
    <x v="88"/>
  </r>
  <r>
    <s v="PROD94"/>
    <x v="94"/>
    <s v="Beauty"/>
    <s v="Skincare"/>
    <x v="94"/>
    <n v="358.47"/>
    <x v="25"/>
    <x v="94"/>
    <x v="0"/>
    <x v="1"/>
    <x v="89"/>
  </r>
  <r>
    <s v="PROD95"/>
    <x v="95"/>
    <s v="Sports"/>
    <s v="Accessories"/>
    <x v="95"/>
    <n v="60.65"/>
    <x v="85"/>
    <x v="95"/>
    <x v="1"/>
    <x v="0"/>
    <x v="90"/>
  </r>
  <r>
    <s v="PROD96"/>
    <x v="96"/>
    <s v="Clothing"/>
    <s v="Outerwear"/>
    <x v="96"/>
    <n v="358.47"/>
    <x v="86"/>
    <x v="96"/>
    <x v="0"/>
    <x v="1"/>
    <x v="89"/>
  </r>
  <r>
    <s v="PROD97"/>
    <x v="97"/>
    <s v="Sports"/>
    <s v="Team Sports"/>
    <x v="97"/>
    <n v="245.98"/>
    <x v="87"/>
    <x v="97"/>
    <x v="0"/>
    <x v="2"/>
    <x v="91"/>
  </r>
  <r>
    <s v="PROD98"/>
    <x v="98"/>
    <s v="Electronics"/>
    <s v="Audio"/>
    <x v="98"/>
    <n v="431.67"/>
    <x v="88"/>
    <x v="98"/>
    <x v="1"/>
    <x v="1"/>
    <x v="92"/>
  </r>
  <r>
    <s v="PROD99"/>
    <x v="99"/>
    <s v="Home"/>
    <s v="Kitchen"/>
    <x v="99"/>
    <n v="201.41"/>
    <x v="89"/>
    <x v="99"/>
    <x v="0"/>
    <x v="2"/>
    <x v="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rother Laser Printer"/>
    <s v="Electronics"/>
    <s v="Computer"/>
    <s v="Hunt Inc"/>
    <n v="112.42"/>
    <n v="416"/>
    <n v="46766.720000000001"/>
    <s v="Available"/>
    <x v="0"/>
    <n v="157.38800000000001"/>
  </r>
  <r>
    <x v="1"/>
    <s v="Men'S Graphic T-Shirt"/>
    <s v="Clothing"/>
    <s v="Tops"/>
    <s v="Terry-Moore"/>
    <n v="342.56"/>
    <n v="181"/>
    <n v="62003.360000000001"/>
    <s v="Available"/>
    <x v="1"/>
    <n v="479.58399999999995"/>
  </r>
  <r>
    <x v="2"/>
    <s v="Women'S Casual Hoodie"/>
    <s v="Clothing"/>
    <s v="Outerwear"/>
    <s v="Sims Inc"/>
    <n v="254.04361702127662"/>
    <n v="352"/>
    <n v="89423.353191489368"/>
    <s v="Available"/>
    <x v="2"/>
    <n v="355.66106382978722"/>
  </r>
  <r>
    <x v="3"/>
    <s v="Men'S Running Jacket"/>
    <s v="Clothing"/>
    <s v="Outerwear"/>
    <s v="Pineda Ltd"/>
    <n v="364.67"/>
    <n v="452"/>
    <n v="164830.84"/>
    <s v="Available"/>
    <x v="1"/>
    <n v="510.53800000000001"/>
  </r>
  <r>
    <x v="4"/>
    <s v="Women'S Yoga Pants"/>
    <s v="Clothing"/>
    <s v="Bottoms"/>
    <s v="Gonzales-Davis"/>
    <n v="306.45999999999998"/>
    <n v="487"/>
    <n v="149246.01999999999"/>
    <s v="Available"/>
    <x v="1"/>
    <n v="429.04399999999993"/>
  </r>
  <r>
    <x v="5"/>
    <s v="Men'S Leather Belt"/>
    <s v="Clothing"/>
    <s v="Accessories"/>
    <s v="Baldwin, Garza And Gonzalez"/>
    <n v="261"/>
    <n v="59"/>
    <n v="15399"/>
    <s v="Low Stock"/>
    <x v="2"/>
    <n v="365.4"/>
  </r>
  <r>
    <x v="6"/>
    <s v="Herbal Face Moisturizer"/>
    <s v="Beauty"/>
    <s v="Skincare"/>
    <s v="Davidson Plc"/>
    <n v="312.8"/>
    <n v="350"/>
    <n v="109480"/>
    <s v="Available"/>
    <x v="1"/>
    <n v="437.92"/>
  </r>
  <r>
    <x v="7"/>
    <s v="Led Table Lamp"/>
    <s v="Home"/>
    <s v="Lighting"/>
    <s v="Harrell Llc"/>
    <n v="218.86"/>
    <n v="170"/>
    <n v="37206.200000000004"/>
    <s v="Available"/>
    <x v="2"/>
    <n v="306.404"/>
  </r>
  <r>
    <x v="8"/>
    <s v="Wireless Bluetooth Earbuds"/>
    <s v="Electronics"/>
    <s v="Audio"/>
    <s v="Perez-Johnston"/>
    <n v="439.07"/>
    <n v="142"/>
    <n v="62347.94"/>
    <s v="Available"/>
    <x v="1"/>
    <n v="614.69799999999998"/>
  </r>
  <r>
    <x v="9"/>
    <s v="Adjustable Dumbbell Set"/>
    <s v="Sports"/>
    <s v="Fitness"/>
    <s v="Hill Plc"/>
    <n v="495.72"/>
    <n v="323"/>
    <n v="160117.56"/>
    <s v="Available"/>
    <x v="1"/>
    <n v="694.00800000000004"/>
  </r>
  <r>
    <x v="10"/>
    <s v="Ceramic Kitchen Bowl Set"/>
    <s v="Home"/>
    <s v="Kitchen"/>
    <s v="Hamilton Group"/>
    <n v="298.86"/>
    <n v="308"/>
    <n v="92048.88"/>
    <s v="Available"/>
    <x v="2"/>
    <n v="418.404"/>
  </r>
  <r>
    <x v="11"/>
    <s v="Hd Smart Tv Stick"/>
    <s v="Electronics"/>
    <s v="Accessories"/>
    <s v="Gibson, Hobbs And Weaver"/>
    <n v="449.4"/>
    <n v="273.49484536082474"/>
    <n v="122908.58350515463"/>
    <s v="Available"/>
    <x v="1"/>
    <n v="629.16"/>
  </r>
  <r>
    <x v="12"/>
    <s v="Hair Strengthening Shampoo"/>
    <s v="Beauty"/>
    <s v="Haircare"/>
    <s v="Rice Llc"/>
    <n v="115.82"/>
    <n v="460"/>
    <n v="53277.2"/>
    <s v="Available"/>
    <x v="0"/>
    <n v="162.14799999999997"/>
  </r>
  <r>
    <x v="13"/>
    <s v="Usb-C Fast Charger"/>
    <s v="Electronics"/>
    <s v="Accessories"/>
    <s v="Dawson-Perkins"/>
    <n v="242.23"/>
    <n v="453"/>
    <n v="109730.19"/>
    <s v="Available"/>
    <x v="2"/>
    <n v="339.12199999999996"/>
  </r>
  <r>
    <x v="14"/>
    <s v="Decorative Wall Mirror"/>
    <s v="Home"/>
    <s v="Decor"/>
    <s v="Luna, Anderson And Bowman"/>
    <n v="48.01"/>
    <n v="439"/>
    <n v="21076.39"/>
    <s v="Available"/>
    <x v="0"/>
    <n v="67.213999999999999"/>
  </r>
  <r>
    <x v="15"/>
    <s v="4K Home Projector"/>
    <s v="Electronics"/>
    <s v="Appliances"/>
    <s v="Thomas Llc"/>
    <n v="465.34"/>
    <n v="301"/>
    <n v="140067.34"/>
    <s v="Available"/>
    <x v="1"/>
    <n v="651.47599999999989"/>
  </r>
  <r>
    <x v="16"/>
    <s v="Beard Grooming Kit"/>
    <s v="Beauty"/>
    <s v="Grooming"/>
    <s v="Erickson-Green"/>
    <n v="337.42"/>
    <n v="256"/>
    <n v="86379.520000000004"/>
    <s v="Available"/>
    <x v="1"/>
    <n v="472.38799999999998"/>
  </r>
  <r>
    <x v="17"/>
    <s v="Soccer Training Cone Set"/>
    <s v="Sports"/>
    <s v="Accessories"/>
    <s v="Ford, Murphy And Wilson"/>
    <n v="144.53"/>
    <n v="367"/>
    <n v="53042.51"/>
    <s v="Available"/>
    <x v="0"/>
    <n v="202.34199999999998"/>
  </r>
  <r>
    <x v="18"/>
    <s v="Women'S Denim Jeans"/>
    <s v="Clothing"/>
    <s v="Bottoms"/>
    <s v="Guerra-Hendrix"/>
    <n v="254.04361702127662"/>
    <n v="343"/>
    <n v="87136.960638297882"/>
    <s v="Available"/>
    <x v="2"/>
    <n v="355.66106382978722"/>
  </r>
  <r>
    <x v="19"/>
    <s v="Knee Support Brace"/>
    <s v="Sports"/>
    <s v="Equipment"/>
    <s v="May-Reese"/>
    <n v="21.34"/>
    <n v="65"/>
    <n v="1387.1"/>
    <s v="Low Stock"/>
    <x v="0"/>
    <n v="29.875999999999998"/>
  </r>
  <r>
    <x v="20"/>
    <s v="Outdoor Sports Water Bottle"/>
    <s v="Sports"/>
    <s v="Accessories"/>
    <s v="Soto-Ellis"/>
    <n v="131.51"/>
    <n v="273.49484536082474"/>
    <n v="35967.307113402057"/>
    <s v="Available"/>
    <x v="0"/>
    <n v="184.11399999999998"/>
  </r>
  <r>
    <x v="21"/>
    <s v="Multi-Purpose Storage Box"/>
    <s v="Home"/>
    <s v="Storage"/>
    <s v="Gardner-Montes"/>
    <n v="123.46"/>
    <n v="76"/>
    <n v="9382.9599999999991"/>
    <s v="Low Stock"/>
    <x v="0"/>
    <n v="172.84399999999999"/>
  </r>
  <r>
    <x v="22"/>
    <s v="Carbon Fiber Tennis Racket"/>
    <s v="Sports"/>
    <s v="Equipment"/>
    <s v="Flores, Pineda And Rodriguez"/>
    <n v="484.62"/>
    <n v="432"/>
    <n v="209355.84"/>
    <s v="Available"/>
    <x v="1"/>
    <n v="678.46799999999996"/>
  </r>
  <r>
    <x v="23"/>
    <s v="Men'S Formal Shirt"/>
    <s v="Clothing"/>
    <s v="Tops"/>
    <s v="Moon, Mora And Santos"/>
    <n v="254.04361702127662"/>
    <n v="360"/>
    <n v="91455.702127659577"/>
    <s v="Available"/>
    <x v="2"/>
    <n v="355.66106382978722"/>
  </r>
  <r>
    <x v="24"/>
    <s v="Foldable Camping Chair"/>
    <s v="Sports"/>
    <s v="Outdoor"/>
    <s v="Cook Ltd"/>
    <n v="166.06"/>
    <n v="340"/>
    <n v="56460.4"/>
    <s v="Available"/>
    <x v="0"/>
    <n v="232.48399999999998"/>
  </r>
  <r>
    <x v="25"/>
    <s v="Women'S Scarf Set"/>
    <s v="Clothing"/>
    <s v="Accessories"/>
    <s v="Brown And Sons"/>
    <n v="174.02"/>
    <n v="268"/>
    <n v="46637.36"/>
    <s v="Available"/>
    <x v="0"/>
    <n v="243.62799999999999"/>
  </r>
  <r>
    <x v="26"/>
    <s v="Wireless Bluetooth Speaker"/>
    <s v="Electronics"/>
    <s v="Audio"/>
    <s v="Reed-Schmidt"/>
    <n v="322.41000000000003"/>
    <n v="213"/>
    <n v="68673.33"/>
    <s v="Available"/>
    <x v="1"/>
    <n v="451.37400000000002"/>
  </r>
  <r>
    <x v="27"/>
    <s v="Decorative Floor Vase"/>
    <s v="Home"/>
    <s v="Decor"/>
    <s v="Khan, Jones And Paul"/>
    <n v="254.04361702127662"/>
    <n v="378"/>
    <n v="96028.487234042565"/>
    <s v="Available"/>
    <x v="2"/>
    <n v="355.66106382978722"/>
  </r>
  <r>
    <x v="28"/>
    <s v="Sports Stopwatch Timer"/>
    <s v="Sports"/>
    <s v="Accessories"/>
    <s v="Burns-Hansen"/>
    <n v="38.76"/>
    <n v="137"/>
    <n v="5310.12"/>
    <s v="Available"/>
    <x v="0"/>
    <n v="54.263999999999996"/>
  </r>
  <r>
    <x v="29"/>
    <s v="Fabric Sofa Throw Blanket"/>
    <s v="Home"/>
    <s v="Decor"/>
    <s v="Hoffman Group"/>
    <n v="218.48"/>
    <n v="276"/>
    <n v="60300.479999999996"/>
    <s v="Available"/>
    <x v="2"/>
    <n v="305.87199999999996"/>
  </r>
  <r>
    <x v="30"/>
    <s v="Stainless Steel Cutlery Set"/>
    <s v="Home"/>
    <s v="Kitchen"/>
    <s v="Stevens, Fernandez And Martin"/>
    <n v="19.52"/>
    <n v="57"/>
    <n v="1112.6399999999999"/>
    <s v="Low Stock"/>
    <x v="0"/>
    <n v="27.327999999999999"/>
  </r>
  <r>
    <x v="31"/>
    <s v="Basketball"/>
    <s v="Sports"/>
    <s v="Team Sports"/>
    <s v="Nolan-Snow"/>
    <n v="204.39"/>
    <n v="281"/>
    <n v="57433.59"/>
    <s v="Available"/>
    <x v="2"/>
    <n v="286.14599999999996"/>
  </r>
  <r>
    <x v="32"/>
    <s v="Vitamin C Face Serum"/>
    <s v="Beauty"/>
    <s v="Skincare"/>
    <s v="Griffin Ltd"/>
    <n v="283.83"/>
    <n v="244"/>
    <n v="69254.51999999999"/>
    <s v="Available"/>
    <x v="2"/>
    <n v="397.36199999999997"/>
  </r>
  <r>
    <x v="33"/>
    <s v="Modern Wall Clock"/>
    <s v="Home"/>
    <s v="Decor"/>
    <s v="Weiss-Watson"/>
    <n v="179.77"/>
    <n v="305"/>
    <n v="54829.850000000006"/>
    <s v="Available"/>
    <x v="0"/>
    <n v="251.678"/>
  </r>
  <r>
    <x v="34"/>
    <s v="Gaming Mechanical Keyboard"/>
    <s v="Electronics"/>
    <s v="Computer"/>
    <s v="Lucero Llc"/>
    <n v="419.28"/>
    <n v="86"/>
    <n v="36058.079999999994"/>
    <s v="Low Stock"/>
    <x v="1"/>
    <n v="586.99199999999996"/>
  </r>
  <r>
    <x v="35"/>
    <s v="Bedroom Table Lamp"/>
    <s v="Home"/>
    <s v="Lighting"/>
    <s v="Jones Llc"/>
    <n v="382.22"/>
    <n v="329"/>
    <n v="125750.38"/>
    <s v="Available"/>
    <x v="1"/>
    <n v="535.10800000000006"/>
  </r>
  <r>
    <x v="36"/>
    <s v="Women'S Summer Dress"/>
    <s v="Clothing"/>
    <s v="Tops"/>
    <s v="Smith-Mills"/>
    <n v="223.43"/>
    <n v="154"/>
    <n v="34408.22"/>
    <s v="Available"/>
    <x v="2"/>
    <n v="312.80199999999996"/>
  </r>
  <r>
    <x v="37"/>
    <s v="Men'S Casual Sneakers"/>
    <s v="Clothing"/>
    <s v="Footwear"/>
    <s v="Hogan-Lee"/>
    <n v="353.47"/>
    <n v="214"/>
    <n v="75642.58"/>
    <s v="Available"/>
    <x v="1"/>
    <n v="494.858"/>
  </r>
  <r>
    <x v="38"/>
    <s v="Sports Water Hydration Pack"/>
    <s v="Sports"/>
    <s v="Outdoor"/>
    <s v="Sims-Smith"/>
    <n v="135.61000000000001"/>
    <n v="394"/>
    <n v="53430.340000000004"/>
    <s v="Available"/>
    <x v="0"/>
    <n v="189.85400000000001"/>
  </r>
  <r>
    <x v="39"/>
    <s v="Portable Power Bank"/>
    <s v="Electronics"/>
    <s v="Mobile"/>
    <s v="Cummings And Sons"/>
    <n v="326.06"/>
    <n v="301"/>
    <n v="98144.06"/>
    <s v="Available"/>
    <x v="1"/>
    <n v="456.48399999999998"/>
  </r>
  <r>
    <x v="40"/>
    <s v="Noise-Canceling Headphones"/>
    <s v="Electronics"/>
    <s v="Audio"/>
    <s v="Taylor-Hart"/>
    <n v="38.520000000000003"/>
    <n v="378"/>
    <n v="14560.560000000001"/>
    <s v="Available"/>
    <x v="0"/>
    <n v="53.928000000000004"/>
  </r>
  <r>
    <x v="41"/>
    <s v="Yoga Exercise Mat"/>
    <s v="Sports"/>
    <s v="Fitness"/>
    <s v="Carroll, Long And Mendoza"/>
    <n v="313.26"/>
    <n v="369"/>
    <n v="115592.94"/>
    <s v="Available"/>
    <x v="1"/>
    <n v="438.56399999999996"/>
  </r>
  <r>
    <x v="42"/>
    <s v="Smart Home Wifi Camera"/>
    <s v="Electronics"/>
    <s v="Accessories"/>
    <s v="Holmes Llc"/>
    <n v="450.71"/>
    <n v="389"/>
    <n v="175326.19"/>
    <s v="Available"/>
    <x v="1"/>
    <n v="630.99399999999991"/>
  </r>
  <r>
    <x v="43"/>
    <s v="Usb External Hard Drive"/>
    <s v="Electronics"/>
    <s v="Computer"/>
    <s v="Robinson Inc"/>
    <n v="253.33"/>
    <n v="266"/>
    <n v="67385.78"/>
    <s v="Available"/>
    <x v="2"/>
    <n v="354.66199999999998"/>
  </r>
  <r>
    <x v="44"/>
    <s v="Adjustable Jump Rope"/>
    <s v="Sports"/>
    <s v="Fitness"/>
    <s v="Cox Inc"/>
    <n v="167.12"/>
    <n v="316"/>
    <n v="52809.919999999998"/>
    <s v="Available"/>
    <x v="0"/>
    <n v="233.96799999999999"/>
  </r>
  <r>
    <x v="45"/>
    <s v="High-Grip Football"/>
    <s v="Sports"/>
    <s v="Team Sports"/>
    <s v="Bridges, Banks And Cummings"/>
    <n v="318.91000000000003"/>
    <n v="114"/>
    <n v="36355.740000000005"/>
    <s v="Available"/>
    <x v="1"/>
    <n v="446.47399999999999"/>
  </r>
  <r>
    <x v="46"/>
    <s v="Men'S Winter Jacket"/>
    <s v="Clothing"/>
    <s v="Outerwear"/>
    <s v="Kelly, Smith And Perez"/>
    <n v="167.34"/>
    <n v="296"/>
    <n v="49532.639999999999"/>
    <s v="Available"/>
    <x v="0"/>
    <n v="234.27599999999998"/>
  </r>
  <r>
    <x v="47"/>
    <s v="Makeup Brush Set"/>
    <s v="Beauty"/>
    <s v="Makeup"/>
    <s v="Cook Inc"/>
    <n v="254.04361702127662"/>
    <n v="431"/>
    <n v="109492.79893617022"/>
    <s v="Available"/>
    <x v="2"/>
    <n v="355.66106382978722"/>
  </r>
  <r>
    <x v="48"/>
    <s v="Car Dashboard Phone Holder"/>
    <s v="Electronics"/>
    <s v="Accessories"/>
    <s v="Byrd, Stewart And Valdez"/>
    <n v="177.98"/>
    <n v="103"/>
    <n v="18331.939999999999"/>
    <s v="Available"/>
    <x v="0"/>
    <n v="249.17199999999997"/>
  </r>
  <r>
    <x v="49"/>
    <s v="Men'S Roll-On Perfume"/>
    <s v="Beauty"/>
    <s v="Fragrance"/>
    <s v="Sullivan And Sons"/>
    <n v="43.29"/>
    <n v="267"/>
    <n v="11558.43"/>
    <s v="Available"/>
    <x v="0"/>
    <n v="60.605999999999995"/>
  </r>
  <r>
    <x v="50"/>
    <s v="Boxing Hand Wraps"/>
    <s v="Sports"/>
    <s v="Fitness"/>
    <s v="Smith-King"/>
    <n v="190.29"/>
    <n v="260"/>
    <n v="49475.4"/>
    <s v="Available"/>
    <x v="0"/>
    <n v="266.40599999999995"/>
  </r>
  <r>
    <x v="51"/>
    <s v="Hdmi Cable – 2M"/>
    <s v="Electronics"/>
    <s v="Accessories"/>
    <s v="Bautista, Green And Hale"/>
    <n v="88.49"/>
    <n v="246"/>
    <n v="21768.539999999997"/>
    <s v="Available"/>
    <x v="0"/>
    <n v="123.88599999999998"/>
  </r>
  <r>
    <x v="52"/>
    <s v="Rugby Ball"/>
    <s v="Sports"/>
    <s v="Team Sports"/>
    <s v="Harris Inc"/>
    <n v="212.26"/>
    <n v="82"/>
    <n v="17405.32"/>
    <s v="Low Stock"/>
    <x v="2"/>
    <n v="297.16399999999999"/>
  </r>
  <r>
    <x v="53"/>
    <s v="Men'S Track Pants"/>
    <s v="Clothing"/>
    <s v="Bottoms"/>
    <s v="Hamilton, Woods And Walker"/>
    <n v="386.56"/>
    <n v="125"/>
    <n v="48320"/>
    <s v="Available"/>
    <x v="1"/>
    <n v="541.18399999999997"/>
  </r>
  <r>
    <x v="54"/>
    <s v="Sports Stopwatch Pro"/>
    <s v="Sports"/>
    <s v="Accessories"/>
    <s v="Thompson-French"/>
    <n v="434.84"/>
    <n v="185"/>
    <n v="80445.399999999994"/>
    <s v="Available"/>
    <x v="1"/>
    <n v="608.77599999999995"/>
  </r>
  <r>
    <x v="55"/>
    <s v="Ceramic Plant Pot"/>
    <s v="Home"/>
    <s v="Decor"/>
    <s v="Hatfield, Baird And Torres"/>
    <n v="81.75"/>
    <n v="273.49484536082474"/>
    <n v="22358.203608247422"/>
    <s v="Available"/>
    <x v="0"/>
    <n v="114.44999999999999"/>
  </r>
  <r>
    <x v="56"/>
    <s v="Premium Blanket Throw"/>
    <s v="Home"/>
    <s v="Decor"/>
    <s v="Hernandez, Kennedy And Porter"/>
    <n v="461.47"/>
    <n v="190"/>
    <n v="87679.3"/>
    <s v="Available"/>
    <x v="1"/>
    <n v="646.05799999999999"/>
  </r>
  <r>
    <x v="57"/>
    <s v="Foam Roller"/>
    <s v="Sports"/>
    <s v="Fitness"/>
    <s v="Atkinson, Camacho And Oliver"/>
    <n v="30.62"/>
    <n v="138"/>
    <n v="4225.5600000000004"/>
    <s v="Available"/>
    <x v="0"/>
    <n v="42.868000000000002"/>
  </r>
  <r>
    <x v="58"/>
    <s v="Womens Cotton Scarf"/>
    <s v="Clothing"/>
    <s v="Accessories"/>
    <s v="Shepherd-Gould"/>
    <n v="113.83"/>
    <n v="485"/>
    <n v="55207.549999999996"/>
    <s v="Available"/>
    <x v="0"/>
    <n v="159.36199999999999"/>
  </r>
  <r>
    <x v="59"/>
    <s v="Men'S Hair Styling Gel"/>
    <s v="Beauty"/>
    <s v="Haircare"/>
    <s v="Cline-Mccarthy"/>
    <n v="17.309999999999999"/>
    <n v="399"/>
    <n v="6906.69"/>
    <s v="Available"/>
    <x v="0"/>
    <n v="24.233999999999998"/>
  </r>
  <r>
    <x v="60"/>
    <s v="Luxury Perfume Spray"/>
    <s v="Beauty"/>
    <s v="Fragrance"/>
    <s v="Gibson, Green And Lopez"/>
    <n v="482.75"/>
    <n v="444"/>
    <n v="214341"/>
    <s v="Available"/>
    <x v="1"/>
    <n v="675.84999999999991"/>
  </r>
  <r>
    <x v="61"/>
    <s v="Tennis Ball 3-Pack"/>
    <s v="Sports"/>
    <s v="Equipment"/>
    <s v="Lopez Llc"/>
    <n v="103.45"/>
    <n v="465"/>
    <n v="48104.25"/>
    <s v="Available"/>
    <x v="0"/>
    <n v="144.82999999999998"/>
  </r>
  <r>
    <x v="62"/>
    <s v="Laptop Cooling Pad"/>
    <s v="Electronics"/>
    <s v="Computer"/>
    <s v="Murray, Gould And Ware"/>
    <n v="86.42"/>
    <n v="222"/>
    <n v="19185.240000000002"/>
    <s v="Available"/>
    <x v="0"/>
    <n v="120.988"/>
  </r>
  <r>
    <x v="63"/>
    <s v="Organic Sunscreen Lotion"/>
    <s v="Beauty"/>
    <s v="Skincare"/>
    <s v="Anderson-Riley"/>
    <n v="266.86"/>
    <n v="458"/>
    <n v="122221.88"/>
    <s v="Available"/>
    <x v="2"/>
    <n v="373.60399999999998"/>
  </r>
  <r>
    <x v="64"/>
    <s v="Matte Lipstick Set"/>
    <s v="Beauty"/>
    <s v="Makeup"/>
    <s v="Zhang Inc"/>
    <n v="299.11"/>
    <n v="118"/>
    <n v="35294.980000000003"/>
    <s v="Available"/>
    <x v="2"/>
    <n v="418.75400000000002"/>
  </r>
  <r>
    <x v="65"/>
    <s v="Adjustable Dumbbells 20Kg"/>
    <s v="Sports"/>
    <s v="Fitness"/>
    <s v="Montgomery, Benton And Miller"/>
    <n v="240.63"/>
    <n v="423"/>
    <n v="101786.49"/>
    <s v="Available"/>
    <x v="2"/>
    <n v="336.88199999999995"/>
  </r>
  <r>
    <x v="66"/>
    <s v="Women'S Hair Dryer Brush"/>
    <s v="Beauty"/>
    <s v="Haircare"/>
    <s v="Torres, Spencer And Potter"/>
    <n v="340.39"/>
    <n v="177"/>
    <n v="60249.03"/>
    <s v="Available"/>
    <x v="1"/>
    <n v="476.54599999999994"/>
  </r>
  <r>
    <x v="67"/>
    <s v="Smart Led Light Strip"/>
    <s v="Electronics"/>
    <s v="Accessories"/>
    <s v="Flores-Davis"/>
    <n v="349.17"/>
    <n v="476"/>
    <n v="166204.92000000001"/>
    <s v="Available"/>
    <x v="1"/>
    <n v="488.83799999999997"/>
  </r>
  <r>
    <x v="68"/>
    <s v="Wooden Nightstand"/>
    <s v="Home"/>
    <s v="Furniture"/>
    <s v="Wolfe, Ross And Hester"/>
    <n v="243.7"/>
    <n v="130"/>
    <n v="31681"/>
    <s v="Available"/>
    <x v="2"/>
    <n v="341.17999999999995"/>
  </r>
  <r>
    <x v="69"/>
    <s v="Men'S Sports Shorts"/>
    <s v="Clothing"/>
    <s v="Bottoms"/>
    <s v="Fitzpatrick Ltd"/>
    <n v="218.22"/>
    <n v="224"/>
    <n v="48881.279999999999"/>
    <s v="Available"/>
    <x v="2"/>
    <n v="305.50799999999998"/>
  </r>
  <r>
    <x v="70"/>
    <s v="Kitchen Storage Rack"/>
    <s v="Home"/>
    <s v="Storage"/>
    <s v="Duran Group"/>
    <n v="138.05000000000001"/>
    <n v="89"/>
    <n v="12286.45"/>
    <s v="Low Stock"/>
    <x v="0"/>
    <n v="193.27"/>
  </r>
  <r>
    <x v="71"/>
    <s v="Hair Repair Oil Treatment"/>
    <s v="Beauty"/>
    <s v="Haircare"/>
    <s v="Hopkins Ltd"/>
    <n v="214.32"/>
    <n v="383"/>
    <n v="82084.56"/>
    <s v="Available"/>
    <x v="2"/>
    <n v="300.04799999999994"/>
  </r>
  <r>
    <x v="72"/>
    <s v="Professional Jump Rope"/>
    <s v="Sports"/>
    <s v="Fitness"/>
    <s v="Davis Plc"/>
    <n v="477.61"/>
    <n v="300"/>
    <n v="143283"/>
    <s v="Available"/>
    <x v="1"/>
    <n v="668.654"/>
  </r>
  <r>
    <x v="73"/>
    <s v="Shin Guards – Adult"/>
    <s v="Sports"/>
    <s v="Team Sports"/>
    <s v="French Ltd"/>
    <n v="107.06"/>
    <n v="359"/>
    <n v="38434.54"/>
    <s v="Available"/>
    <x v="0"/>
    <n v="149.88399999999999"/>
  </r>
  <r>
    <x v="74"/>
    <s v="Bluetooth Car Audio System"/>
    <s v="Electronics"/>
    <s v="Audio"/>
    <s v="Bruce-Bowen"/>
    <n v="403.71"/>
    <n v="159"/>
    <n v="64189.89"/>
    <s v="Available"/>
    <x v="1"/>
    <n v="565.19399999999996"/>
  </r>
  <r>
    <x v="75"/>
    <s v="Women'S Ankle Boots"/>
    <s v="Clothing"/>
    <s v="Footwear"/>
    <s v="Poole Plc"/>
    <n v="158.13999999999999"/>
    <n v="82"/>
    <n v="12967.48"/>
    <s v="Low Stock"/>
    <x v="0"/>
    <n v="221.39599999999996"/>
  </r>
  <r>
    <x v="76"/>
    <s v="Wireless Mouse"/>
    <s v="Electronics"/>
    <s v="Computer"/>
    <s v="Larson Ltd"/>
    <n v="392.89"/>
    <n v="320"/>
    <n v="125724.79999999999"/>
    <s v="Available"/>
    <x v="1"/>
    <n v="550.04599999999994"/>
  </r>
  <r>
    <x v="77"/>
    <s v="Wifi Mesh Router"/>
    <s v="Electronics"/>
    <s v="Appliances"/>
    <s v="White, Reeves And Woods"/>
    <n v="480.9"/>
    <n v="104"/>
    <n v="50013.599999999999"/>
    <s v="Available"/>
    <x v="1"/>
    <n v="673.25999999999988"/>
  </r>
  <r>
    <x v="78"/>
    <s v="Essential Oil Diffuser"/>
    <s v="Home"/>
    <s v="Decor"/>
    <s v="Hernandez Inc"/>
    <n v="325.26"/>
    <n v="400"/>
    <n v="130104"/>
    <s v="Available"/>
    <x v="1"/>
    <n v="455.36399999999998"/>
  </r>
  <r>
    <x v="79"/>
    <s v="Decorative Lamp Shade"/>
    <s v="Home"/>
    <s v="Lighting"/>
    <s v="Ramirez-Hanson"/>
    <n v="228.53"/>
    <n v="469"/>
    <n v="107180.57"/>
    <s v="Available"/>
    <x v="2"/>
    <n v="319.94200000000001"/>
  </r>
  <r>
    <x v="80"/>
    <s v="Wall-Mounted Spice Rack"/>
    <s v="Home"/>
    <s v="Kitchen"/>
    <s v="Allison Ltd"/>
    <n v="143.43"/>
    <n v="58"/>
    <n v="8318.94"/>
    <s v="Low Stock"/>
    <x v="0"/>
    <n v="200.80199999999999"/>
  </r>
  <r>
    <x v="81"/>
    <s v="Badminton Racket Set"/>
    <s v="Sports"/>
    <s v="Equipment"/>
    <s v="Robinson-Brown"/>
    <n v="285.54000000000002"/>
    <n v="358"/>
    <n v="102223.32"/>
    <s v="Available"/>
    <x v="2"/>
    <n v="399.75600000000003"/>
  </r>
  <r>
    <x v="82"/>
    <s v="Fitness Resistance Bands"/>
    <s v="Sports"/>
    <s v="Fitness"/>
    <s v="Reese-Watson"/>
    <n v="152.91999999999999"/>
    <n v="281"/>
    <n v="42970.52"/>
    <s v="Available"/>
    <x v="0"/>
    <n v="214.08799999999997"/>
  </r>
  <r>
    <x v="83"/>
    <s v="Hydrating Face Cleanser"/>
    <s v="Beauty"/>
    <s v="Skincare"/>
    <s v="Butler Group"/>
    <n v="254.04361702127662"/>
    <n v="159"/>
    <n v="40392.935106382982"/>
    <s v="Available"/>
    <x v="2"/>
    <n v="355.66106382978722"/>
  </r>
  <r>
    <x v="84"/>
    <s v="Wooden Bookshelf"/>
    <s v="Home"/>
    <s v="Furniture"/>
    <s v="Collins-Stephenson"/>
    <n v="388.46"/>
    <n v="208"/>
    <n v="80799.679999999993"/>
    <s v="Available"/>
    <x v="1"/>
    <n v="543.84399999999994"/>
  </r>
  <r>
    <x v="85"/>
    <s v="Women'S Beanie Hat"/>
    <s v="Clothing"/>
    <s v="Accessories"/>
    <s v="Richardson-Carrillo"/>
    <n v="119.57"/>
    <n v="210"/>
    <n v="25109.699999999997"/>
    <s v="Available"/>
    <x v="0"/>
    <n v="167.39799999999997"/>
  </r>
  <r>
    <x v="86"/>
    <s v="Kitchen Cutting Board"/>
    <s v="Home"/>
    <s v="Kitchen"/>
    <s v="Taylor, Dodson And Johnston"/>
    <n v="176.07"/>
    <n v="82"/>
    <n v="14437.74"/>
    <s v="Low Stock"/>
    <x v="0"/>
    <n v="246.49799999999996"/>
  </r>
  <r>
    <x v="87"/>
    <s v="Led Bedside Lamp"/>
    <s v="Home"/>
    <s v="Lighting"/>
    <s v="Aguilar, Horton And Lewis"/>
    <n v="371.38"/>
    <n v="220"/>
    <n v="81703.600000000006"/>
    <s v="Available"/>
    <x v="1"/>
    <n v="519.93200000000002"/>
  </r>
  <r>
    <x v="88"/>
    <s v="Sports Wrist Sweatbands"/>
    <s v="Sports"/>
    <s v="Accessories"/>
    <s v="Olsen-Daniels"/>
    <n v="131.24"/>
    <n v="232"/>
    <n v="30447.68"/>
    <s v="Available"/>
    <x v="0"/>
    <n v="183.73599999999999"/>
  </r>
  <r>
    <x v="89"/>
    <s v="Face Foundation Kit"/>
    <s v="Beauty"/>
    <s v="Makeup"/>
    <s v="Taylor-Elliott"/>
    <n v="183.04"/>
    <n v="457"/>
    <n v="83649.279999999999"/>
    <s v="Available"/>
    <x v="0"/>
    <n v="256.25599999999997"/>
  </r>
  <r>
    <x v="90"/>
    <s v="Gaming Mouse Pad Xl"/>
    <s v="Electronics"/>
    <s v="Accessories"/>
    <s v="Sharp, Taylor And Rodriguez"/>
    <n v="340.14"/>
    <n v="361"/>
    <n v="122790.54"/>
    <s v="Available"/>
    <x v="1"/>
    <n v="476.19599999999997"/>
  </r>
  <r>
    <x v="91"/>
    <s v="Women'S High Heels"/>
    <s v="Clothing"/>
    <s v="Footwear"/>
    <s v="Smith-Charles"/>
    <n v="438.25"/>
    <n v="496"/>
    <n v="217372"/>
    <s v="Available"/>
    <x v="1"/>
    <n v="613.54999999999995"/>
  </r>
  <r>
    <x v="92"/>
    <s v="Microwave Oven"/>
    <s v="Home"/>
    <s v="Appliances"/>
    <s v="Green, Powell And Palmer"/>
    <n v="447.43"/>
    <n v="191"/>
    <n v="85459.13"/>
    <s v="Available"/>
    <x v="1"/>
    <n v="626.40199999999993"/>
  </r>
  <r>
    <x v="93"/>
    <s v="Usb-C Laptop Charger"/>
    <s v="Electronics"/>
    <s v="Computer"/>
    <s v="Martin Llc"/>
    <n v="377.52"/>
    <n v="485"/>
    <n v="183097.19999999998"/>
    <s v="Available"/>
    <x v="1"/>
    <n v="528.52799999999991"/>
  </r>
  <r>
    <x v="94"/>
    <s v="Vitamin E Body Lotion"/>
    <s v="Beauty"/>
    <s v="Skincare"/>
    <s v="Hoffman-Williams"/>
    <n v="358.47"/>
    <n v="213"/>
    <n v="76354.11"/>
    <s v="Available"/>
    <x v="1"/>
    <n v="501.858"/>
  </r>
  <r>
    <x v="95"/>
    <s v="Sports Stopwatch Basic"/>
    <s v="Sports"/>
    <s v="Accessories"/>
    <s v="Wilson Group"/>
    <n v="60.65"/>
    <n v="75"/>
    <n v="4548.75"/>
    <s v="Low Stock"/>
    <x v="0"/>
    <n v="84.91"/>
  </r>
  <r>
    <x v="96"/>
    <s v="Women'S Formal Blazer"/>
    <s v="Clothing"/>
    <s v="Outerwear"/>
    <s v="Phillips And Sons"/>
    <n v="358.47"/>
    <n v="143"/>
    <n v="51261.210000000006"/>
    <s v="Available"/>
    <x v="1"/>
    <n v="501.858"/>
  </r>
  <r>
    <x v="97"/>
    <s v="Cricket Bat"/>
    <s v="Sports"/>
    <s v="Team Sports"/>
    <s v="Khan Llc"/>
    <n v="245.98"/>
    <n v="471"/>
    <n v="115856.58"/>
    <s v="Available"/>
    <x v="2"/>
    <n v="344.37199999999996"/>
  </r>
  <r>
    <x v="98"/>
    <s v="Portable Bluetooth Speaker"/>
    <s v="Electronics"/>
    <s v="Audio"/>
    <s v="Flores-King"/>
    <n v="431.67"/>
    <n v="73"/>
    <n v="31511.91"/>
    <s v="Low Stock"/>
    <x v="1"/>
    <n v="604.33799999999997"/>
  </r>
  <r>
    <x v="99"/>
    <s v="Stainless Steel Cookware Set"/>
    <s v="Home"/>
    <s v="Kitchen"/>
    <s v="Campbell Ltd"/>
    <n v="201.41"/>
    <n v="146"/>
    <n v="29405.86"/>
    <s v="Available"/>
    <x v="2"/>
    <n v="281.973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s v="Computer"/>
    <s v="Hunt Inc"/>
    <n v="112.42"/>
    <n v="416"/>
    <n v="46766.720000000001"/>
    <s v="Available"/>
    <x v="0"/>
    <n v="157.38800000000001"/>
  </r>
  <r>
    <s v="PROD1"/>
    <s v="Men'S Graphic T-Shirt"/>
    <x v="1"/>
    <s v="Tops"/>
    <s v="Terry-Moore"/>
    <n v="342.56"/>
    <n v="181"/>
    <n v="62003.360000000001"/>
    <s v="Available"/>
    <x v="1"/>
    <n v="479.58399999999995"/>
  </r>
  <r>
    <s v="PROD2"/>
    <s v="Women'S Casual Hoodie"/>
    <x v="1"/>
    <s v="Outerwear"/>
    <s v="Sims Inc"/>
    <n v="254.04361702127662"/>
    <n v="352"/>
    <n v="89423.353191489368"/>
    <s v="Available"/>
    <x v="2"/>
    <n v="355.66106382978722"/>
  </r>
  <r>
    <s v="PROD3"/>
    <s v="Men'S Running Jacket"/>
    <x v="1"/>
    <s v="Outerwear"/>
    <s v="Pineda Ltd"/>
    <n v="364.67"/>
    <n v="452"/>
    <n v="164830.84"/>
    <s v="Available"/>
    <x v="1"/>
    <n v="510.53800000000001"/>
  </r>
  <r>
    <s v="PROD4"/>
    <s v="Women'S Yoga Pants"/>
    <x v="1"/>
    <s v="Bottoms"/>
    <s v="Gonzales-Davis"/>
    <n v="306.45999999999998"/>
    <n v="487"/>
    <n v="149246.01999999999"/>
    <s v="Available"/>
    <x v="1"/>
    <n v="429.04399999999993"/>
  </r>
  <r>
    <s v="PROD5"/>
    <s v="Men'S Leather Belt"/>
    <x v="1"/>
    <s v="Accessories"/>
    <s v="Baldwin, Garza And Gonzalez"/>
    <n v="261"/>
    <n v="59"/>
    <n v="15399"/>
    <s v="Low Stock"/>
    <x v="2"/>
    <n v="365.4"/>
  </r>
  <r>
    <s v="PROD6"/>
    <s v="Herbal Face Moisturizer"/>
    <x v="2"/>
    <s v="Skincare"/>
    <s v="Davidson Plc"/>
    <n v="312.8"/>
    <n v="350"/>
    <n v="109480"/>
    <s v="Available"/>
    <x v="1"/>
    <n v="437.92"/>
  </r>
  <r>
    <s v="PROD7"/>
    <s v="Led Table Lamp"/>
    <x v="3"/>
    <s v="Lighting"/>
    <s v="Harrell Llc"/>
    <n v="218.86"/>
    <n v="170"/>
    <n v="37206.200000000004"/>
    <s v="Available"/>
    <x v="2"/>
    <n v="306.404"/>
  </r>
  <r>
    <s v="PROD8"/>
    <s v="Wireless Bluetooth Earbuds"/>
    <x v="0"/>
    <s v="Audio"/>
    <s v="Perez-Johnston"/>
    <n v="439.07"/>
    <n v="142"/>
    <n v="62347.94"/>
    <s v="Available"/>
    <x v="1"/>
    <n v="614.69799999999998"/>
  </r>
  <r>
    <s v="PROD9"/>
    <s v="Adjustable Dumbbell Set"/>
    <x v="4"/>
    <s v="Fitness"/>
    <s v="Hill Plc"/>
    <n v="495.72"/>
    <n v="323"/>
    <n v="160117.56"/>
    <s v="Available"/>
    <x v="1"/>
    <n v="694.00800000000004"/>
  </r>
  <r>
    <s v="PROD10"/>
    <s v="Ceramic Kitchen Bowl Set"/>
    <x v="3"/>
    <s v="Kitchen"/>
    <s v="Hamilton Group"/>
    <n v="298.86"/>
    <n v="308"/>
    <n v="92048.88"/>
    <s v="Available"/>
    <x v="2"/>
    <n v="418.404"/>
  </r>
  <r>
    <s v="PROD11"/>
    <s v="Hd Smart Tv Stick"/>
    <x v="0"/>
    <s v="Accessories"/>
    <s v="Gibson, Hobbs And Weaver"/>
    <n v="449.4"/>
    <n v="273.49484536082474"/>
    <n v="122908.58350515463"/>
    <s v="Available"/>
    <x v="1"/>
    <n v="629.16"/>
  </r>
  <r>
    <s v="PROD12"/>
    <s v="Hair Strengthening Shampoo"/>
    <x v="2"/>
    <s v="Haircare"/>
    <s v="Rice Llc"/>
    <n v="115.82"/>
    <n v="460"/>
    <n v="53277.2"/>
    <s v="Available"/>
    <x v="0"/>
    <n v="162.14799999999997"/>
  </r>
  <r>
    <s v="PROD13"/>
    <s v="Usb-C Fast Charger"/>
    <x v="0"/>
    <s v="Accessories"/>
    <s v="Dawson-Perkins"/>
    <n v="242.23"/>
    <n v="453"/>
    <n v="109730.19"/>
    <s v="Available"/>
    <x v="2"/>
    <n v="339.12199999999996"/>
  </r>
  <r>
    <s v="PROD14"/>
    <s v="Decorative Wall Mirror"/>
    <x v="3"/>
    <s v="Decor"/>
    <s v="Luna, Anderson And Bowman"/>
    <n v="48.01"/>
    <n v="439"/>
    <n v="21076.39"/>
    <s v="Available"/>
    <x v="0"/>
    <n v="67.213999999999999"/>
  </r>
  <r>
    <s v="PROD15"/>
    <s v="4K Home Projector"/>
    <x v="0"/>
    <s v="Appliances"/>
    <s v="Thomas Llc"/>
    <n v="465.34"/>
    <n v="301"/>
    <n v="140067.34"/>
    <s v="Available"/>
    <x v="1"/>
    <n v="651.47599999999989"/>
  </r>
  <r>
    <s v="PROD16"/>
    <s v="Beard Grooming Kit"/>
    <x v="2"/>
    <s v="Grooming"/>
    <s v="Erickson-Green"/>
    <n v="337.42"/>
    <n v="256"/>
    <n v="86379.520000000004"/>
    <s v="Available"/>
    <x v="1"/>
    <n v="472.38799999999998"/>
  </r>
  <r>
    <s v="PROD17"/>
    <s v="Soccer Training Cone Set"/>
    <x v="4"/>
    <s v="Accessories"/>
    <s v="Ford, Murphy And Wilson"/>
    <n v="144.53"/>
    <n v="367"/>
    <n v="53042.51"/>
    <s v="Available"/>
    <x v="0"/>
    <n v="202.34199999999998"/>
  </r>
  <r>
    <s v="PROD18"/>
    <s v="Women'S Denim Jeans"/>
    <x v="1"/>
    <s v="Bottoms"/>
    <s v="Guerra-Hendrix"/>
    <n v="254.04361702127662"/>
    <n v="343"/>
    <n v="87136.960638297882"/>
    <s v="Available"/>
    <x v="2"/>
    <n v="355.66106382978722"/>
  </r>
  <r>
    <s v="PROD19"/>
    <s v="Knee Support Brace"/>
    <x v="4"/>
    <s v="Equipment"/>
    <s v="May-Reese"/>
    <n v="21.34"/>
    <n v="65"/>
    <n v="1387.1"/>
    <s v="Low Stock"/>
    <x v="0"/>
    <n v="29.875999999999998"/>
  </r>
  <r>
    <s v="PROD20"/>
    <s v="Outdoor Sports Water Bottle"/>
    <x v="4"/>
    <s v="Accessories"/>
    <s v="Soto-Ellis"/>
    <n v="131.51"/>
    <n v="273.49484536082474"/>
    <n v="35967.307113402057"/>
    <s v="Available"/>
    <x v="0"/>
    <n v="184.11399999999998"/>
  </r>
  <r>
    <s v="PROD21"/>
    <s v="Multi-Purpose Storage Box"/>
    <x v="3"/>
    <s v="Storage"/>
    <s v="Gardner-Montes"/>
    <n v="123.46"/>
    <n v="76"/>
    <n v="9382.9599999999991"/>
    <s v="Low Stock"/>
    <x v="0"/>
    <n v="172.84399999999999"/>
  </r>
  <r>
    <s v="PROD22"/>
    <s v="Carbon Fiber Tennis Racket"/>
    <x v="4"/>
    <s v="Equipment"/>
    <s v="Flores, Pineda And Rodriguez"/>
    <n v="484.62"/>
    <n v="432"/>
    <n v="209355.84"/>
    <s v="Available"/>
    <x v="1"/>
    <n v="678.46799999999996"/>
  </r>
  <r>
    <s v="PROD23"/>
    <s v="Men'S Formal Shirt"/>
    <x v="1"/>
    <s v="Tops"/>
    <s v="Moon, Mora And Santos"/>
    <n v="254.04361702127662"/>
    <n v="360"/>
    <n v="91455.702127659577"/>
    <s v="Available"/>
    <x v="2"/>
    <n v="355.66106382978722"/>
  </r>
  <r>
    <s v="PROD24"/>
    <s v="Foldable Camping Chair"/>
    <x v="4"/>
    <s v="Outdoor"/>
    <s v="Cook Ltd"/>
    <n v="166.06"/>
    <n v="340"/>
    <n v="56460.4"/>
    <s v="Available"/>
    <x v="0"/>
    <n v="232.48399999999998"/>
  </r>
  <r>
    <s v="PROD25"/>
    <s v="Women'S Scarf Set"/>
    <x v="1"/>
    <s v="Accessories"/>
    <s v="Brown And Sons"/>
    <n v="174.02"/>
    <n v="268"/>
    <n v="46637.36"/>
    <s v="Available"/>
    <x v="0"/>
    <n v="243.62799999999999"/>
  </r>
  <r>
    <s v="PROD26"/>
    <s v="Wireless Bluetooth Speaker"/>
    <x v="0"/>
    <s v="Audio"/>
    <s v="Reed-Schmidt"/>
    <n v="322.41000000000003"/>
    <n v="213"/>
    <n v="68673.33"/>
    <s v="Available"/>
    <x v="1"/>
    <n v="451.37400000000002"/>
  </r>
  <r>
    <s v="PROD27"/>
    <s v="Decorative Floor Vase"/>
    <x v="3"/>
    <s v="Decor"/>
    <s v="Khan, Jones And Paul"/>
    <n v="254.04361702127662"/>
    <n v="378"/>
    <n v="96028.487234042565"/>
    <s v="Available"/>
    <x v="2"/>
    <n v="355.66106382978722"/>
  </r>
  <r>
    <s v="PROD28"/>
    <s v="Sports Stopwatch Timer"/>
    <x v="4"/>
    <s v="Accessories"/>
    <s v="Burns-Hansen"/>
    <n v="38.76"/>
    <n v="137"/>
    <n v="5310.12"/>
    <s v="Available"/>
    <x v="0"/>
    <n v="54.263999999999996"/>
  </r>
  <r>
    <s v="PROD29"/>
    <s v="Fabric Sofa Throw Blanket"/>
    <x v="3"/>
    <s v="Decor"/>
    <s v="Hoffman Group"/>
    <n v="218.48"/>
    <n v="276"/>
    <n v="60300.479999999996"/>
    <s v="Available"/>
    <x v="2"/>
    <n v="305.87199999999996"/>
  </r>
  <r>
    <s v="PROD30"/>
    <s v="Stainless Steel Cutlery Set"/>
    <x v="3"/>
    <s v="Kitchen"/>
    <s v="Stevens, Fernandez And Martin"/>
    <n v="19.52"/>
    <n v="57"/>
    <n v="1112.6399999999999"/>
    <s v="Low Stock"/>
    <x v="0"/>
    <n v="27.327999999999999"/>
  </r>
  <r>
    <s v="PROD31"/>
    <s v="Basketball"/>
    <x v="4"/>
    <s v="Team Sports"/>
    <s v="Nolan-Snow"/>
    <n v="204.39"/>
    <n v="281"/>
    <n v="57433.59"/>
    <s v="Available"/>
    <x v="2"/>
    <n v="286.14599999999996"/>
  </r>
  <r>
    <s v="PROD32"/>
    <s v="Vitamin C Face Serum"/>
    <x v="2"/>
    <s v="Skincare"/>
    <s v="Griffin Ltd"/>
    <n v="283.83"/>
    <n v="244"/>
    <n v="69254.51999999999"/>
    <s v="Available"/>
    <x v="2"/>
    <n v="397.36199999999997"/>
  </r>
  <r>
    <s v="PROD33"/>
    <s v="Modern Wall Clock"/>
    <x v="3"/>
    <s v="Decor"/>
    <s v="Weiss-Watson"/>
    <n v="179.77"/>
    <n v="305"/>
    <n v="54829.850000000006"/>
    <s v="Available"/>
    <x v="0"/>
    <n v="251.678"/>
  </r>
  <r>
    <s v="PROD34"/>
    <s v="Gaming Mechanical Keyboard"/>
    <x v="0"/>
    <s v="Computer"/>
    <s v="Lucero Llc"/>
    <n v="419.28"/>
    <n v="86"/>
    <n v="36058.079999999994"/>
    <s v="Low Stock"/>
    <x v="1"/>
    <n v="586.99199999999996"/>
  </r>
  <r>
    <s v="PROD35"/>
    <s v="Bedroom Table Lamp"/>
    <x v="3"/>
    <s v="Lighting"/>
    <s v="Jones Llc"/>
    <n v="382.22"/>
    <n v="329"/>
    <n v="125750.38"/>
    <s v="Available"/>
    <x v="1"/>
    <n v="535.10800000000006"/>
  </r>
  <r>
    <s v="PROD36"/>
    <s v="Women'S Summer Dress"/>
    <x v="1"/>
    <s v="Tops"/>
    <s v="Smith-Mills"/>
    <n v="223.43"/>
    <n v="154"/>
    <n v="34408.22"/>
    <s v="Available"/>
    <x v="2"/>
    <n v="312.80199999999996"/>
  </r>
  <r>
    <s v="PROD37"/>
    <s v="Men'S Casual Sneakers"/>
    <x v="1"/>
    <s v="Footwear"/>
    <s v="Hogan-Lee"/>
    <n v="353.47"/>
    <n v="214"/>
    <n v="75642.58"/>
    <s v="Available"/>
    <x v="1"/>
    <n v="494.858"/>
  </r>
  <r>
    <s v="PROD38"/>
    <s v="Sports Water Hydration Pack"/>
    <x v="4"/>
    <s v="Outdoor"/>
    <s v="Sims-Smith"/>
    <n v="135.61000000000001"/>
    <n v="394"/>
    <n v="53430.340000000004"/>
    <s v="Available"/>
    <x v="0"/>
    <n v="189.85400000000001"/>
  </r>
  <r>
    <s v="PROD39"/>
    <s v="Portable Power Bank"/>
    <x v="0"/>
    <s v="Mobile"/>
    <s v="Cummings And Sons"/>
    <n v="326.06"/>
    <n v="301"/>
    <n v="98144.06"/>
    <s v="Available"/>
    <x v="1"/>
    <n v="456.48399999999998"/>
  </r>
  <r>
    <s v="PROD40"/>
    <s v="Noise-Canceling Headphones"/>
    <x v="0"/>
    <s v="Audio"/>
    <s v="Taylor-Hart"/>
    <n v="38.520000000000003"/>
    <n v="378"/>
    <n v="14560.560000000001"/>
    <s v="Available"/>
    <x v="0"/>
    <n v="53.928000000000004"/>
  </r>
  <r>
    <s v="PROD41"/>
    <s v="Yoga Exercise Mat"/>
    <x v="4"/>
    <s v="Fitness"/>
    <s v="Carroll, Long And Mendoza"/>
    <n v="313.26"/>
    <n v="369"/>
    <n v="115592.94"/>
    <s v="Available"/>
    <x v="1"/>
    <n v="438.56399999999996"/>
  </r>
  <r>
    <s v="PROD42"/>
    <s v="Smart Home Wifi Camera"/>
    <x v="0"/>
    <s v="Accessories"/>
    <s v="Holmes Llc"/>
    <n v="450.71"/>
    <n v="389"/>
    <n v="175326.19"/>
    <s v="Available"/>
    <x v="1"/>
    <n v="630.99399999999991"/>
  </r>
  <r>
    <s v="PROD43"/>
    <s v="Usb External Hard Drive"/>
    <x v="0"/>
    <s v="Computer"/>
    <s v="Robinson Inc"/>
    <n v="253.33"/>
    <n v="266"/>
    <n v="67385.78"/>
    <s v="Available"/>
    <x v="2"/>
    <n v="354.66199999999998"/>
  </r>
  <r>
    <s v="PROD44"/>
    <s v="Adjustable Jump Rope"/>
    <x v="4"/>
    <s v="Fitness"/>
    <s v="Cox Inc"/>
    <n v="167.12"/>
    <n v="316"/>
    <n v="52809.919999999998"/>
    <s v="Available"/>
    <x v="0"/>
    <n v="233.96799999999999"/>
  </r>
  <r>
    <s v="PROD45"/>
    <s v="High-Grip Football"/>
    <x v="4"/>
    <s v="Team Sports"/>
    <s v="Bridges, Banks And Cummings"/>
    <n v="318.91000000000003"/>
    <n v="114"/>
    <n v="36355.740000000005"/>
    <s v="Available"/>
    <x v="1"/>
    <n v="446.47399999999999"/>
  </r>
  <r>
    <s v="PROD46"/>
    <s v="Men'S Winter Jacket"/>
    <x v="1"/>
    <s v="Outerwear"/>
    <s v="Kelly, Smith And Perez"/>
    <n v="167.34"/>
    <n v="296"/>
    <n v="49532.639999999999"/>
    <s v="Available"/>
    <x v="0"/>
    <n v="234.27599999999998"/>
  </r>
  <r>
    <s v="PROD47"/>
    <s v="Makeup Brush Set"/>
    <x v="2"/>
    <s v="Makeup"/>
    <s v="Cook Inc"/>
    <n v="254.04361702127662"/>
    <n v="431"/>
    <n v="109492.79893617022"/>
    <s v="Available"/>
    <x v="2"/>
    <n v="355.66106382978722"/>
  </r>
  <r>
    <s v="PROD48"/>
    <s v="Car Dashboard Phone Holder"/>
    <x v="0"/>
    <s v="Accessories"/>
    <s v="Byrd, Stewart And Valdez"/>
    <n v="177.98"/>
    <n v="103"/>
    <n v="18331.939999999999"/>
    <s v="Available"/>
    <x v="0"/>
    <n v="249.17199999999997"/>
  </r>
  <r>
    <s v="PROD49"/>
    <s v="Men'S Roll-On Perfume"/>
    <x v="2"/>
    <s v="Fragrance"/>
    <s v="Sullivan And Sons"/>
    <n v="43.29"/>
    <n v="267"/>
    <n v="11558.43"/>
    <s v="Available"/>
    <x v="0"/>
    <n v="60.605999999999995"/>
  </r>
  <r>
    <s v="PROD50"/>
    <s v="Boxing Hand Wraps"/>
    <x v="4"/>
    <s v="Fitness"/>
    <s v="Smith-King"/>
    <n v="190.29"/>
    <n v="260"/>
    <n v="49475.4"/>
    <s v="Available"/>
    <x v="0"/>
    <n v="266.40599999999995"/>
  </r>
  <r>
    <s v="PROD51"/>
    <s v="Hdmi Cable – 2M"/>
    <x v="0"/>
    <s v="Accessories"/>
    <s v="Bautista, Green And Hale"/>
    <n v="88.49"/>
    <n v="246"/>
    <n v="21768.539999999997"/>
    <s v="Available"/>
    <x v="0"/>
    <n v="123.88599999999998"/>
  </r>
  <r>
    <s v="PROD52"/>
    <s v="Rugby Ball"/>
    <x v="4"/>
    <s v="Team Sports"/>
    <s v="Harris Inc"/>
    <n v="212.26"/>
    <n v="82"/>
    <n v="17405.32"/>
    <s v="Low Stock"/>
    <x v="2"/>
    <n v="297.16399999999999"/>
  </r>
  <r>
    <s v="PROD53"/>
    <s v="Men'S Track Pants"/>
    <x v="1"/>
    <s v="Bottoms"/>
    <s v="Hamilton, Woods And Walker"/>
    <n v="386.56"/>
    <n v="125"/>
    <n v="48320"/>
    <s v="Available"/>
    <x v="1"/>
    <n v="541.18399999999997"/>
  </r>
  <r>
    <s v="PROD54"/>
    <s v="Sports Stopwatch Pro"/>
    <x v="4"/>
    <s v="Accessories"/>
    <s v="Thompson-French"/>
    <n v="434.84"/>
    <n v="185"/>
    <n v="80445.399999999994"/>
    <s v="Available"/>
    <x v="1"/>
    <n v="608.77599999999995"/>
  </r>
  <r>
    <s v="PROD55"/>
    <s v="Ceramic Plant Pot"/>
    <x v="3"/>
    <s v="Decor"/>
    <s v="Hatfield, Baird And Torres"/>
    <n v="81.75"/>
    <n v="273.49484536082474"/>
    <n v="22358.203608247422"/>
    <s v="Available"/>
    <x v="0"/>
    <n v="114.44999999999999"/>
  </r>
  <r>
    <s v="PROD56"/>
    <s v="Premium Blanket Throw"/>
    <x v="3"/>
    <s v="Decor"/>
    <s v="Hernandez, Kennedy And Porter"/>
    <n v="461.47"/>
    <n v="190"/>
    <n v="87679.3"/>
    <s v="Available"/>
    <x v="1"/>
    <n v="646.05799999999999"/>
  </r>
  <r>
    <s v="PROD57"/>
    <s v="Foam Roller"/>
    <x v="4"/>
    <s v="Fitness"/>
    <s v="Atkinson, Camacho And Oliver"/>
    <n v="30.62"/>
    <n v="138"/>
    <n v="4225.5600000000004"/>
    <s v="Available"/>
    <x v="0"/>
    <n v="42.868000000000002"/>
  </r>
  <r>
    <s v="PROD58"/>
    <s v="Womens Cotton Scarf"/>
    <x v="1"/>
    <s v="Accessories"/>
    <s v="Shepherd-Gould"/>
    <n v="113.83"/>
    <n v="485"/>
    <n v="55207.549999999996"/>
    <s v="Available"/>
    <x v="0"/>
    <n v="159.36199999999999"/>
  </r>
  <r>
    <s v="PROD59"/>
    <s v="Men'S Hair Styling Gel"/>
    <x v="2"/>
    <s v="Haircare"/>
    <s v="Cline-Mccarthy"/>
    <n v="17.309999999999999"/>
    <n v="399"/>
    <n v="6906.69"/>
    <s v="Available"/>
    <x v="0"/>
    <n v="24.233999999999998"/>
  </r>
  <r>
    <s v="PROD60"/>
    <s v="Luxury Perfume Spray"/>
    <x v="2"/>
    <s v="Fragrance"/>
    <s v="Gibson, Green And Lopez"/>
    <n v="482.75"/>
    <n v="444"/>
    <n v="214341"/>
    <s v="Available"/>
    <x v="1"/>
    <n v="675.84999999999991"/>
  </r>
  <r>
    <s v="PROD61"/>
    <s v="Tennis Ball 3-Pack"/>
    <x v="4"/>
    <s v="Equipment"/>
    <s v="Lopez Llc"/>
    <n v="103.45"/>
    <n v="465"/>
    <n v="48104.25"/>
    <s v="Available"/>
    <x v="0"/>
    <n v="144.82999999999998"/>
  </r>
  <r>
    <s v="PROD62"/>
    <s v="Laptop Cooling Pad"/>
    <x v="0"/>
    <s v="Computer"/>
    <s v="Murray, Gould And Ware"/>
    <n v="86.42"/>
    <n v="222"/>
    <n v="19185.240000000002"/>
    <s v="Available"/>
    <x v="0"/>
    <n v="120.988"/>
  </r>
  <r>
    <s v="PROD63"/>
    <s v="Organic Sunscreen Lotion"/>
    <x v="2"/>
    <s v="Skincare"/>
    <s v="Anderson-Riley"/>
    <n v="266.86"/>
    <n v="458"/>
    <n v="122221.88"/>
    <s v="Available"/>
    <x v="2"/>
    <n v="373.60399999999998"/>
  </r>
  <r>
    <s v="PROD64"/>
    <s v="Matte Lipstick Set"/>
    <x v="2"/>
    <s v="Makeup"/>
    <s v="Zhang Inc"/>
    <n v="299.11"/>
    <n v="118"/>
    <n v="35294.980000000003"/>
    <s v="Available"/>
    <x v="2"/>
    <n v="418.75400000000002"/>
  </r>
  <r>
    <s v="PROD65"/>
    <s v="Adjustable Dumbbells 20Kg"/>
    <x v="4"/>
    <s v="Fitness"/>
    <s v="Montgomery, Benton And Miller"/>
    <n v="240.63"/>
    <n v="423"/>
    <n v="101786.49"/>
    <s v="Available"/>
    <x v="2"/>
    <n v="336.88199999999995"/>
  </r>
  <r>
    <s v="PROD66"/>
    <s v="Women'S Hair Dryer Brush"/>
    <x v="2"/>
    <s v="Haircare"/>
    <s v="Torres, Spencer And Potter"/>
    <n v="340.39"/>
    <n v="177"/>
    <n v="60249.03"/>
    <s v="Available"/>
    <x v="1"/>
    <n v="476.54599999999994"/>
  </r>
  <r>
    <s v="PROD67"/>
    <s v="Smart Led Light Strip"/>
    <x v="0"/>
    <s v="Accessories"/>
    <s v="Flores-Davis"/>
    <n v="349.17"/>
    <n v="476"/>
    <n v="166204.92000000001"/>
    <s v="Available"/>
    <x v="1"/>
    <n v="488.83799999999997"/>
  </r>
  <r>
    <s v="PROD68"/>
    <s v="Wooden Nightstand"/>
    <x v="3"/>
    <s v="Furniture"/>
    <s v="Wolfe, Ross And Hester"/>
    <n v="243.7"/>
    <n v="130"/>
    <n v="31681"/>
    <s v="Available"/>
    <x v="2"/>
    <n v="341.17999999999995"/>
  </r>
  <r>
    <s v="PROD69"/>
    <s v="Men'S Sports Shorts"/>
    <x v="1"/>
    <s v="Bottoms"/>
    <s v="Fitzpatrick Ltd"/>
    <n v="218.22"/>
    <n v="224"/>
    <n v="48881.279999999999"/>
    <s v="Available"/>
    <x v="2"/>
    <n v="305.50799999999998"/>
  </r>
  <r>
    <s v="PROD70"/>
    <s v="Kitchen Storage Rack"/>
    <x v="3"/>
    <s v="Storage"/>
    <s v="Duran Group"/>
    <n v="138.05000000000001"/>
    <n v="89"/>
    <n v="12286.45"/>
    <s v="Low Stock"/>
    <x v="0"/>
    <n v="193.27"/>
  </r>
  <r>
    <s v="PROD71"/>
    <s v="Hair Repair Oil Treatment"/>
    <x v="2"/>
    <s v="Haircare"/>
    <s v="Hopkins Ltd"/>
    <n v="214.32"/>
    <n v="383"/>
    <n v="82084.56"/>
    <s v="Available"/>
    <x v="2"/>
    <n v="300.04799999999994"/>
  </r>
  <r>
    <s v="PROD72"/>
    <s v="Professional Jump Rope"/>
    <x v="4"/>
    <s v="Fitness"/>
    <s v="Davis Plc"/>
    <n v="477.61"/>
    <n v="300"/>
    <n v="143283"/>
    <s v="Available"/>
    <x v="1"/>
    <n v="668.654"/>
  </r>
  <r>
    <s v="PROD73"/>
    <s v="Shin Guards – Adult"/>
    <x v="4"/>
    <s v="Team Sports"/>
    <s v="French Ltd"/>
    <n v="107.06"/>
    <n v="359"/>
    <n v="38434.54"/>
    <s v="Available"/>
    <x v="0"/>
    <n v="149.88399999999999"/>
  </r>
  <r>
    <s v="PROD74"/>
    <s v="Bluetooth Car Audio System"/>
    <x v="0"/>
    <s v="Audio"/>
    <s v="Bruce-Bowen"/>
    <n v="403.71"/>
    <n v="159"/>
    <n v="64189.89"/>
    <s v="Available"/>
    <x v="1"/>
    <n v="565.19399999999996"/>
  </r>
  <r>
    <s v="PROD75"/>
    <s v="Women'S Ankle Boots"/>
    <x v="1"/>
    <s v="Footwear"/>
    <s v="Poole Plc"/>
    <n v="158.13999999999999"/>
    <n v="82"/>
    <n v="12967.48"/>
    <s v="Low Stock"/>
    <x v="0"/>
    <n v="221.39599999999996"/>
  </r>
  <r>
    <s v="PROD76"/>
    <s v="Wireless Mouse"/>
    <x v="0"/>
    <s v="Computer"/>
    <s v="Larson Ltd"/>
    <n v="392.89"/>
    <n v="320"/>
    <n v="125724.79999999999"/>
    <s v="Available"/>
    <x v="1"/>
    <n v="550.04599999999994"/>
  </r>
  <r>
    <s v="PROD77"/>
    <s v="Wifi Mesh Router"/>
    <x v="0"/>
    <s v="Appliances"/>
    <s v="White, Reeves And Woods"/>
    <n v="480.9"/>
    <n v="104"/>
    <n v="50013.599999999999"/>
    <s v="Available"/>
    <x v="1"/>
    <n v="673.25999999999988"/>
  </r>
  <r>
    <s v="PROD78"/>
    <s v="Essential Oil Diffuser"/>
    <x v="3"/>
    <s v="Decor"/>
    <s v="Hernandez Inc"/>
    <n v="325.26"/>
    <n v="400"/>
    <n v="130104"/>
    <s v="Available"/>
    <x v="1"/>
    <n v="455.36399999999998"/>
  </r>
  <r>
    <s v="PROD79"/>
    <s v="Decorative Lamp Shade"/>
    <x v="3"/>
    <s v="Lighting"/>
    <s v="Ramirez-Hanson"/>
    <n v="228.53"/>
    <n v="469"/>
    <n v="107180.57"/>
    <s v="Available"/>
    <x v="2"/>
    <n v="319.94200000000001"/>
  </r>
  <r>
    <s v="PROD80"/>
    <s v="Wall-Mounted Spice Rack"/>
    <x v="3"/>
    <s v="Kitchen"/>
    <s v="Allison Ltd"/>
    <n v="143.43"/>
    <n v="58"/>
    <n v="8318.94"/>
    <s v="Low Stock"/>
    <x v="0"/>
    <n v="200.80199999999999"/>
  </r>
  <r>
    <s v="PROD81"/>
    <s v="Badminton Racket Set"/>
    <x v="4"/>
    <s v="Equipment"/>
    <s v="Robinson-Brown"/>
    <n v="285.54000000000002"/>
    <n v="358"/>
    <n v="102223.32"/>
    <s v="Available"/>
    <x v="2"/>
    <n v="399.75600000000003"/>
  </r>
  <r>
    <s v="PROD82"/>
    <s v="Fitness Resistance Bands"/>
    <x v="4"/>
    <s v="Fitness"/>
    <s v="Reese-Watson"/>
    <n v="152.91999999999999"/>
    <n v="281"/>
    <n v="42970.52"/>
    <s v="Available"/>
    <x v="0"/>
    <n v="214.08799999999997"/>
  </r>
  <r>
    <s v="PROD83"/>
    <s v="Hydrating Face Cleanser"/>
    <x v="2"/>
    <s v="Skincare"/>
    <s v="Butler Group"/>
    <n v="254.04361702127662"/>
    <n v="159"/>
    <n v="40392.935106382982"/>
    <s v="Available"/>
    <x v="2"/>
    <n v="355.66106382978722"/>
  </r>
  <r>
    <s v="PROD84"/>
    <s v="Wooden Bookshelf"/>
    <x v="3"/>
    <s v="Furniture"/>
    <s v="Collins-Stephenson"/>
    <n v="388.46"/>
    <n v="208"/>
    <n v="80799.679999999993"/>
    <s v="Available"/>
    <x v="1"/>
    <n v="543.84399999999994"/>
  </r>
  <r>
    <s v="PROD85"/>
    <s v="Women'S Beanie Hat"/>
    <x v="1"/>
    <s v="Accessories"/>
    <s v="Richardson-Carrillo"/>
    <n v="119.57"/>
    <n v="210"/>
    <n v="25109.699999999997"/>
    <s v="Available"/>
    <x v="0"/>
    <n v="167.39799999999997"/>
  </r>
  <r>
    <s v="PROD86"/>
    <s v="Kitchen Cutting Board"/>
    <x v="3"/>
    <s v="Kitchen"/>
    <s v="Taylor, Dodson And Johnston"/>
    <n v="176.07"/>
    <n v="82"/>
    <n v="14437.74"/>
    <s v="Low Stock"/>
    <x v="0"/>
    <n v="246.49799999999996"/>
  </r>
  <r>
    <s v="PROD87"/>
    <s v="Led Bedside Lamp"/>
    <x v="3"/>
    <s v="Lighting"/>
    <s v="Aguilar, Horton And Lewis"/>
    <n v="371.38"/>
    <n v="220"/>
    <n v="81703.600000000006"/>
    <s v="Available"/>
    <x v="1"/>
    <n v="519.93200000000002"/>
  </r>
  <r>
    <s v="PROD88"/>
    <s v="Sports Wrist Sweatbands"/>
    <x v="4"/>
    <s v="Accessories"/>
    <s v="Olsen-Daniels"/>
    <n v="131.24"/>
    <n v="232"/>
    <n v="30447.68"/>
    <s v="Available"/>
    <x v="0"/>
    <n v="183.73599999999999"/>
  </r>
  <r>
    <s v="PROD89"/>
    <s v="Face Foundation Kit"/>
    <x v="2"/>
    <s v="Makeup"/>
    <s v="Taylor-Elliott"/>
    <n v="183.04"/>
    <n v="457"/>
    <n v="83649.279999999999"/>
    <s v="Available"/>
    <x v="0"/>
    <n v="256.25599999999997"/>
  </r>
  <r>
    <s v="PROD90"/>
    <s v="Gaming Mouse Pad Xl"/>
    <x v="0"/>
    <s v="Accessories"/>
    <s v="Sharp, Taylor And Rodriguez"/>
    <n v="340.14"/>
    <n v="361"/>
    <n v="122790.54"/>
    <s v="Available"/>
    <x v="1"/>
    <n v="476.19599999999997"/>
  </r>
  <r>
    <s v="PROD91"/>
    <s v="Women'S High Heels"/>
    <x v="1"/>
    <s v="Footwear"/>
    <s v="Smith-Charles"/>
    <n v="438.25"/>
    <n v="496"/>
    <n v="217372"/>
    <s v="Available"/>
    <x v="1"/>
    <n v="613.54999999999995"/>
  </r>
  <r>
    <s v="PROD92"/>
    <s v="Microwave Oven"/>
    <x v="3"/>
    <s v="Appliances"/>
    <s v="Green, Powell And Palmer"/>
    <n v="447.43"/>
    <n v="191"/>
    <n v="85459.13"/>
    <s v="Available"/>
    <x v="1"/>
    <n v="626.40199999999993"/>
  </r>
  <r>
    <s v="PROD93"/>
    <s v="Usb-C Laptop Charger"/>
    <x v="0"/>
    <s v="Computer"/>
    <s v="Martin Llc"/>
    <n v="377.52"/>
    <n v="485"/>
    <n v="183097.19999999998"/>
    <s v="Available"/>
    <x v="1"/>
    <n v="528.52799999999991"/>
  </r>
  <r>
    <s v="PROD94"/>
    <s v="Vitamin E Body Lotion"/>
    <x v="2"/>
    <s v="Skincare"/>
    <s v="Hoffman-Williams"/>
    <n v="358.47"/>
    <n v="213"/>
    <n v="76354.11"/>
    <s v="Available"/>
    <x v="1"/>
    <n v="501.858"/>
  </r>
  <r>
    <s v="PROD95"/>
    <s v="Sports Stopwatch Basic"/>
    <x v="4"/>
    <s v="Accessories"/>
    <s v="Wilson Group"/>
    <n v="60.65"/>
    <n v="75"/>
    <n v="4548.75"/>
    <s v="Low Stock"/>
    <x v="0"/>
    <n v="84.91"/>
  </r>
  <r>
    <s v="PROD96"/>
    <s v="Women'S Formal Blazer"/>
    <x v="1"/>
    <s v="Outerwear"/>
    <s v="Phillips And Sons"/>
    <n v="358.47"/>
    <n v="143"/>
    <n v="51261.210000000006"/>
    <s v="Available"/>
    <x v="1"/>
    <n v="501.858"/>
  </r>
  <r>
    <s v="PROD97"/>
    <s v="Cricket Bat"/>
    <x v="4"/>
    <s v="Team Sports"/>
    <s v="Khan Llc"/>
    <n v="245.98"/>
    <n v="471"/>
    <n v="115856.58"/>
    <s v="Available"/>
    <x v="2"/>
    <n v="344.37199999999996"/>
  </r>
  <r>
    <s v="PROD98"/>
    <s v="Portable Bluetooth Speaker"/>
    <x v="0"/>
    <s v="Audio"/>
    <s v="Flores-King"/>
    <n v="431.67"/>
    <n v="73"/>
    <n v="31511.91"/>
    <s v="Low Stock"/>
    <x v="1"/>
    <n v="604.33799999999997"/>
  </r>
  <r>
    <s v="PROD99"/>
    <s v="Stainless Steel Cookware Set"/>
    <x v="3"/>
    <s v="Kitchen"/>
    <s v="Campbell Ltd"/>
    <n v="201.41"/>
    <n v="146"/>
    <n v="29405.86"/>
    <s v="Available"/>
    <x v="2"/>
    <n v="281.97399999999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x v="0"/>
    <n v="112.42"/>
    <n v="416"/>
    <n v="46766.720000000001"/>
    <s v="Available"/>
    <x v="0"/>
    <n v="157.38800000000001"/>
  </r>
  <r>
    <s v="PROD1"/>
    <x v="1"/>
    <x v="1"/>
    <x v="1"/>
    <x v="1"/>
    <n v="342.56"/>
    <n v="181"/>
    <n v="62003.360000000001"/>
    <s v="Available"/>
    <x v="1"/>
    <n v="479.58399999999995"/>
  </r>
  <r>
    <s v="PROD2"/>
    <x v="2"/>
    <x v="1"/>
    <x v="2"/>
    <x v="2"/>
    <n v="254.04361702127662"/>
    <n v="352"/>
    <n v="89423.353191489368"/>
    <s v="Available"/>
    <x v="2"/>
    <n v="355.66106382978722"/>
  </r>
  <r>
    <s v="PROD3"/>
    <x v="3"/>
    <x v="1"/>
    <x v="2"/>
    <x v="3"/>
    <n v="364.67"/>
    <n v="452"/>
    <n v="164830.84"/>
    <s v="Available"/>
    <x v="1"/>
    <n v="510.53800000000001"/>
  </r>
  <r>
    <s v="PROD4"/>
    <x v="4"/>
    <x v="1"/>
    <x v="3"/>
    <x v="4"/>
    <n v="306.45999999999998"/>
    <n v="487"/>
    <n v="149246.01999999999"/>
    <s v="Available"/>
    <x v="1"/>
    <n v="429.04399999999993"/>
  </r>
  <r>
    <s v="PROD5"/>
    <x v="5"/>
    <x v="1"/>
    <x v="4"/>
    <x v="5"/>
    <n v="261"/>
    <n v="59"/>
    <n v="15399"/>
    <s v="Low Stock"/>
    <x v="2"/>
    <n v="365.4"/>
  </r>
  <r>
    <s v="PROD6"/>
    <x v="6"/>
    <x v="2"/>
    <x v="5"/>
    <x v="6"/>
    <n v="312.8"/>
    <n v="350"/>
    <n v="109480"/>
    <s v="Available"/>
    <x v="1"/>
    <n v="437.92"/>
  </r>
  <r>
    <s v="PROD7"/>
    <x v="7"/>
    <x v="3"/>
    <x v="6"/>
    <x v="7"/>
    <n v="218.86"/>
    <n v="170"/>
    <n v="37206.200000000004"/>
    <s v="Available"/>
    <x v="2"/>
    <n v="306.404"/>
  </r>
  <r>
    <s v="PROD8"/>
    <x v="8"/>
    <x v="0"/>
    <x v="7"/>
    <x v="8"/>
    <n v="439.07"/>
    <n v="142"/>
    <n v="62347.94"/>
    <s v="Available"/>
    <x v="1"/>
    <n v="614.69799999999998"/>
  </r>
  <r>
    <s v="PROD9"/>
    <x v="9"/>
    <x v="4"/>
    <x v="8"/>
    <x v="9"/>
    <n v="495.72"/>
    <n v="323"/>
    <n v="160117.56"/>
    <s v="Available"/>
    <x v="1"/>
    <n v="694.00800000000004"/>
  </r>
  <r>
    <s v="PROD10"/>
    <x v="10"/>
    <x v="3"/>
    <x v="9"/>
    <x v="10"/>
    <n v="298.86"/>
    <n v="308"/>
    <n v="92048.88"/>
    <s v="Available"/>
    <x v="2"/>
    <n v="418.404"/>
  </r>
  <r>
    <s v="PROD11"/>
    <x v="11"/>
    <x v="0"/>
    <x v="4"/>
    <x v="11"/>
    <n v="449.4"/>
    <n v="273.49484536082474"/>
    <n v="122908.58350515463"/>
    <s v="Available"/>
    <x v="1"/>
    <n v="629.16"/>
  </r>
  <r>
    <s v="PROD12"/>
    <x v="12"/>
    <x v="2"/>
    <x v="10"/>
    <x v="12"/>
    <n v="115.82"/>
    <n v="460"/>
    <n v="53277.2"/>
    <s v="Available"/>
    <x v="0"/>
    <n v="162.14799999999997"/>
  </r>
  <r>
    <s v="PROD13"/>
    <x v="13"/>
    <x v="0"/>
    <x v="4"/>
    <x v="13"/>
    <n v="242.23"/>
    <n v="453"/>
    <n v="109730.19"/>
    <s v="Available"/>
    <x v="2"/>
    <n v="339.12199999999996"/>
  </r>
  <r>
    <s v="PROD14"/>
    <x v="14"/>
    <x v="3"/>
    <x v="11"/>
    <x v="14"/>
    <n v="48.01"/>
    <n v="439"/>
    <n v="21076.39"/>
    <s v="Available"/>
    <x v="0"/>
    <n v="67.213999999999999"/>
  </r>
  <r>
    <s v="PROD15"/>
    <x v="15"/>
    <x v="0"/>
    <x v="12"/>
    <x v="15"/>
    <n v="465.34"/>
    <n v="301"/>
    <n v="140067.34"/>
    <s v="Available"/>
    <x v="1"/>
    <n v="651.47599999999989"/>
  </r>
  <r>
    <s v="PROD16"/>
    <x v="16"/>
    <x v="2"/>
    <x v="13"/>
    <x v="16"/>
    <n v="337.42"/>
    <n v="256"/>
    <n v="86379.520000000004"/>
    <s v="Available"/>
    <x v="1"/>
    <n v="472.38799999999998"/>
  </r>
  <r>
    <s v="PROD17"/>
    <x v="17"/>
    <x v="4"/>
    <x v="4"/>
    <x v="17"/>
    <n v="144.53"/>
    <n v="367"/>
    <n v="53042.51"/>
    <s v="Available"/>
    <x v="0"/>
    <n v="202.34199999999998"/>
  </r>
  <r>
    <s v="PROD18"/>
    <x v="18"/>
    <x v="1"/>
    <x v="3"/>
    <x v="18"/>
    <n v="254.04361702127662"/>
    <n v="343"/>
    <n v="87136.960638297882"/>
    <s v="Available"/>
    <x v="2"/>
    <n v="355.66106382978722"/>
  </r>
  <r>
    <s v="PROD19"/>
    <x v="19"/>
    <x v="4"/>
    <x v="14"/>
    <x v="19"/>
    <n v="21.34"/>
    <n v="65"/>
    <n v="1387.1"/>
    <s v="Low Stock"/>
    <x v="0"/>
    <n v="29.875999999999998"/>
  </r>
  <r>
    <s v="PROD20"/>
    <x v="20"/>
    <x v="4"/>
    <x v="4"/>
    <x v="20"/>
    <n v="131.51"/>
    <n v="273.49484536082474"/>
    <n v="35967.307113402057"/>
    <s v="Available"/>
    <x v="0"/>
    <n v="184.11399999999998"/>
  </r>
  <r>
    <s v="PROD21"/>
    <x v="21"/>
    <x v="3"/>
    <x v="15"/>
    <x v="21"/>
    <n v="123.46"/>
    <n v="76"/>
    <n v="9382.9599999999991"/>
    <s v="Low Stock"/>
    <x v="0"/>
    <n v="172.84399999999999"/>
  </r>
  <r>
    <s v="PROD22"/>
    <x v="22"/>
    <x v="4"/>
    <x v="14"/>
    <x v="22"/>
    <n v="484.62"/>
    <n v="432"/>
    <n v="209355.84"/>
    <s v="Available"/>
    <x v="1"/>
    <n v="678.46799999999996"/>
  </r>
  <r>
    <s v="PROD23"/>
    <x v="23"/>
    <x v="1"/>
    <x v="1"/>
    <x v="23"/>
    <n v="254.04361702127662"/>
    <n v="360"/>
    <n v="91455.702127659577"/>
    <s v="Available"/>
    <x v="2"/>
    <n v="355.66106382978722"/>
  </r>
  <r>
    <s v="PROD24"/>
    <x v="24"/>
    <x v="4"/>
    <x v="16"/>
    <x v="24"/>
    <n v="166.06"/>
    <n v="340"/>
    <n v="56460.4"/>
    <s v="Available"/>
    <x v="0"/>
    <n v="232.48399999999998"/>
  </r>
  <r>
    <s v="PROD25"/>
    <x v="25"/>
    <x v="1"/>
    <x v="4"/>
    <x v="25"/>
    <n v="174.02"/>
    <n v="268"/>
    <n v="46637.36"/>
    <s v="Available"/>
    <x v="0"/>
    <n v="243.62799999999999"/>
  </r>
  <r>
    <s v="PROD26"/>
    <x v="26"/>
    <x v="0"/>
    <x v="7"/>
    <x v="26"/>
    <n v="322.41000000000003"/>
    <n v="213"/>
    <n v="68673.33"/>
    <s v="Available"/>
    <x v="1"/>
    <n v="451.37400000000002"/>
  </r>
  <r>
    <s v="PROD27"/>
    <x v="27"/>
    <x v="3"/>
    <x v="11"/>
    <x v="27"/>
    <n v="254.04361702127662"/>
    <n v="378"/>
    <n v="96028.487234042565"/>
    <s v="Available"/>
    <x v="2"/>
    <n v="355.66106382978722"/>
  </r>
  <r>
    <s v="PROD28"/>
    <x v="28"/>
    <x v="4"/>
    <x v="4"/>
    <x v="28"/>
    <n v="38.76"/>
    <n v="137"/>
    <n v="5310.12"/>
    <s v="Available"/>
    <x v="0"/>
    <n v="54.263999999999996"/>
  </r>
  <r>
    <s v="PROD29"/>
    <x v="29"/>
    <x v="3"/>
    <x v="11"/>
    <x v="29"/>
    <n v="218.48"/>
    <n v="276"/>
    <n v="60300.479999999996"/>
    <s v="Available"/>
    <x v="2"/>
    <n v="305.87199999999996"/>
  </r>
  <r>
    <s v="PROD30"/>
    <x v="30"/>
    <x v="3"/>
    <x v="9"/>
    <x v="30"/>
    <n v="19.52"/>
    <n v="57"/>
    <n v="1112.6399999999999"/>
    <s v="Low Stock"/>
    <x v="0"/>
    <n v="27.327999999999999"/>
  </r>
  <r>
    <s v="PROD31"/>
    <x v="31"/>
    <x v="4"/>
    <x v="17"/>
    <x v="31"/>
    <n v="204.39"/>
    <n v="281"/>
    <n v="57433.59"/>
    <s v="Available"/>
    <x v="2"/>
    <n v="286.14599999999996"/>
  </r>
  <r>
    <s v="PROD32"/>
    <x v="32"/>
    <x v="2"/>
    <x v="5"/>
    <x v="32"/>
    <n v="283.83"/>
    <n v="244"/>
    <n v="69254.51999999999"/>
    <s v="Available"/>
    <x v="2"/>
    <n v="397.36199999999997"/>
  </r>
  <r>
    <s v="PROD33"/>
    <x v="33"/>
    <x v="3"/>
    <x v="11"/>
    <x v="33"/>
    <n v="179.77"/>
    <n v="305"/>
    <n v="54829.850000000006"/>
    <s v="Available"/>
    <x v="0"/>
    <n v="251.678"/>
  </r>
  <r>
    <s v="PROD34"/>
    <x v="34"/>
    <x v="0"/>
    <x v="0"/>
    <x v="34"/>
    <n v="419.28"/>
    <n v="86"/>
    <n v="36058.079999999994"/>
    <s v="Low Stock"/>
    <x v="1"/>
    <n v="586.99199999999996"/>
  </r>
  <r>
    <s v="PROD35"/>
    <x v="35"/>
    <x v="3"/>
    <x v="6"/>
    <x v="35"/>
    <n v="382.22"/>
    <n v="329"/>
    <n v="125750.38"/>
    <s v="Available"/>
    <x v="1"/>
    <n v="535.10800000000006"/>
  </r>
  <r>
    <s v="PROD36"/>
    <x v="36"/>
    <x v="1"/>
    <x v="1"/>
    <x v="36"/>
    <n v="223.43"/>
    <n v="154"/>
    <n v="34408.22"/>
    <s v="Available"/>
    <x v="2"/>
    <n v="312.80199999999996"/>
  </r>
  <r>
    <s v="PROD37"/>
    <x v="37"/>
    <x v="1"/>
    <x v="18"/>
    <x v="37"/>
    <n v="353.47"/>
    <n v="214"/>
    <n v="75642.58"/>
    <s v="Available"/>
    <x v="1"/>
    <n v="494.858"/>
  </r>
  <r>
    <s v="PROD38"/>
    <x v="38"/>
    <x v="4"/>
    <x v="16"/>
    <x v="38"/>
    <n v="135.61000000000001"/>
    <n v="394"/>
    <n v="53430.340000000004"/>
    <s v="Available"/>
    <x v="0"/>
    <n v="189.85400000000001"/>
  </r>
  <r>
    <s v="PROD39"/>
    <x v="39"/>
    <x v="0"/>
    <x v="19"/>
    <x v="39"/>
    <n v="326.06"/>
    <n v="301"/>
    <n v="98144.06"/>
    <s v="Available"/>
    <x v="1"/>
    <n v="456.48399999999998"/>
  </r>
  <r>
    <s v="PROD40"/>
    <x v="40"/>
    <x v="0"/>
    <x v="7"/>
    <x v="40"/>
    <n v="38.520000000000003"/>
    <n v="378"/>
    <n v="14560.560000000001"/>
    <s v="Available"/>
    <x v="0"/>
    <n v="53.928000000000004"/>
  </r>
  <r>
    <s v="PROD41"/>
    <x v="41"/>
    <x v="4"/>
    <x v="8"/>
    <x v="41"/>
    <n v="313.26"/>
    <n v="369"/>
    <n v="115592.94"/>
    <s v="Available"/>
    <x v="1"/>
    <n v="438.56399999999996"/>
  </r>
  <r>
    <s v="PROD42"/>
    <x v="42"/>
    <x v="0"/>
    <x v="4"/>
    <x v="42"/>
    <n v="450.71"/>
    <n v="389"/>
    <n v="175326.19"/>
    <s v="Available"/>
    <x v="1"/>
    <n v="630.99399999999991"/>
  </r>
  <r>
    <s v="PROD43"/>
    <x v="43"/>
    <x v="0"/>
    <x v="0"/>
    <x v="43"/>
    <n v="253.33"/>
    <n v="266"/>
    <n v="67385.78"/>
    <s v="Available"/>
    <x v="2"/>
    <n v="354.66199999999998"/>
  </r>
  <r>
    <s v="PROD44"/>
    <x v="44"/>
    <x v="4"/>
    <x v="8"/>
    <x v="44"/>
    <n v="167.12"/>
    <n v="316"/>
    <n v="52809.919999999998"/>
    <s v="Available"/>
    <x v="0"/>
    <n v="233.96799999999999"/>
  </r>
  <r>
    <s v="PROD45"/>
    <x v="45"/>
    <x v="4"/>
    <x v="17"/>
    <x v="45"/>
    <n v="318.91000000000003"/>
    <n v="114"/>
    <n v="36355.740000000005"/>
    <s v="Available"/>
    <x v="1"/>
    <n v="446.47399999999999"/>
  </r>
  <r>
    <s v="PROD46"/>
    <x v="46"/>
    <x v="1"/>
    <x v="2"/>
    <x v="46"/>
    <n v="167.34"/>
    <n v="296"/>
    <n v="49532.639999999999"/>
    <s v="Available"/>
    <x v="0"/>
    <n v="234.27599999999998"/>
  </r>
  <r>
    <s v="PROD47"/>
    <x v="47"/>
    <x v="2"/>
    <x v="20"/>
    <x v="47"/>
    <n v="254.04361702127662"/>
    <n v="431"/>
    <n v="109492.79893617022"/>
    <s v="Available"/>
    <x v="2"/>
    <n v="355.66106382978722"/>
  </r>
  <r>
    <s v="PROD48"/>
    <x v="48"/>
    <x v="0"/>
    <x v="4"/>
    <x v="48"/>
    <n v="177.98"/>
    <n v="103"/>
    <n v="18331.939999999999"/>
    <s v="Available"/>
    <x v="0"/>
    <n v="249.17199999999997"/>
  </r>
  <r>
    <s v="PROD49"/>
    <x v="49"/>
    <x v="2"/>
    <x v="21"/>
    <x v="49"/>
    <n v="43.29"/>
    <n v="267"/>
    <n v="11558.43"/>
    <s v="Available"/>
    <x v="0"/>
    <n v="60.605999999999995"/>
  </r>
  <r>
    <s v="PROD50"/>
    <x v="50"/>
    <x v="4"/>
    <x v="8"/>
    <x v="50"/>
    <n v="190.29"/>
    <n v="260"/>
    <n v="49475.4"/>
    <s v="Available"/>
    <x v="0"/>
    <n v="266.40599999999995"/>
  </r>
  <r>
    <s v="PROD51"/>
    <x v="51"/>
    <x v="0"/>
    <x v="4"/>
    <x v="51"/>
    <n v="88.49"/>
    <n v="246"/>
    <n v="21768.539999999997"/>
    <s v="Available"/>
    <x v="0"/>
    <n v="123.88599999999998"/>
  </r>
  <r>
    <s v="PROD52"/>
    <x v="52"/>
    <x v="4"/>
    <x v="17"/>
    <x v="52"/>
    <n v="212.26"/>
    <n v="82"/>
    <n v="17405.32"/>
    <s v="Low Stock"/>
    <x v="2"/>
    <n v="297.16399999999999"/>
  </r>
  <r>
    <s v="PROD53"/>
    <x v="53"/>
    <x v="1"/>
    <x v="3"/>
    <x v="53"/>
    <n v="386.56"/>
    <n v="125"/>
    <n v="48320"/>
    <s v="Available"/>
    <x v="1"/>
    <n v="541.18399999999997"/>
  </r>
  <r>
    <s v="PROD54"/>
    <x v="54"/>
    <x v="4"/>
    <x v="4"/>
    <x v="54"/>
    <n v="434.84"/>
    <n v="185"/>
    <n v="80445.399999999994"/>
    <s v="Available"/>
    <x v="1"/>
    <n v="608.77599999999995"/>
  </r>
  <r>
    <s v="PROD55"/>
    <x v="55"/>
    <x v="3"/>
    <x v="11"/>
    <x v="55"/>
    <n v="81.75"/>
    <n v="273.49484536082474"/>
    <n v="22358.203608247422"/>
    <s v="Available"/>
    <x v="0"/>
    <n v="114.44999999999999"/>
  </r>
  <r>
    <s v="PROD56"/>
    <x v="56"/>
    <x v="3"/>
    <x v="11"/>
    <x v="56"/>
    <n v="461.47"/>
    <n v="190"/>
    <n v="87679.3"/>
    <s v="Available"/>
    <x v="1"/>
    <n v="646.05799999999999"/>
  </r>
  <r>
    <s v="PROD57"/>
    <x v="57"/>
    <x v="4"/>
    <x v="8"/>
    <x v="57"/>
    <n v="30.62"/>
    <n v="138"/>
    <n v="4225.5600000000004"/>
    <s v="Available"/>
    <x v="0"/>
    <n v="42.868000000000002"/>
  </r>
  <r>
    <s v="PROD58"/>
    <x v="58"/>
    <x v="1"/>
    <x v="4"/>
    <x v="58"/>
    <n v="113.83"/>
    <n v="485"/>
    <n v="55207.549999999996"/>
    <s v="Available"/>
    <x v="0"/>
    <n v="159.36199999999999"/>
  </r>
  <r>
    <s v="PROD59"/>
    <x v="59"/>
    <x v="2"/>
    <x v="10"/>
    <x v="59"/>
    <n v="17.309999999999999"/>
    <n v="399"/>
    <n v="6906.69"/>
    <s v="Available"/>
    <x v="0"/>
    <n v="24.233999999999998"/>
  </r>
  <r>
    <s v="PROD60"/>
    <x v="60"/>
    <x v="2"/>
    <x v="21"/>
    <x v="60"/>
    <n v="482.75"/>
    <n v="444"/>
    <n v="214341"/>
    <s v="Available"/>
    <x v="1"/>
    <n v="675.84999999999991"/>
  </r>
  <r>
    <s v="PROD61"/>
    <x v="61"/>
    <x v="4"/>
    <x v="14"/>
    <x v="61"/>
    <n v="103.45"/>
    <n v="465"/>
    <n v="48104.25"/>
    <s v="Available"/>
    <x v="0"/>
    <n v="144.82999999999998"/>
  </r>
  <r>
    <s v="PROD62"/>
    <x v="62"/>
    <x v="0"/>
    <x v="0"/>
    <x v="62"/>
    <n v="86.42"/>
    <n v="222"/>
    <n v="19185.240000000002"/>
    <s v="Available"/>
    <x v="0"/>
    <n v="120.988"/>
  </r>
  <r>
    <s v="PROD63"/>
    <x v="63"/>
    <x v="2"/>
    <x v="5"/>
    <x v="63"/>
    <n v="266.86"/>
    <n v="458"/>
    <n v="122221.88"/>
    <s v="Available"/>
    <x v="2"/>
    <n v="373.60399999999998"/>
  </r>
  <r>
    <s v="PROD64"/>
    <x v="64"/>
    <x v="2"/>
    <x v="20"/>
    <x v="64"/>
    <n v="299.11"/>
    <n v="118"/>
    <n v="35294.980000000003"/>
    <s v="Available"/>
    <x v="2"/>
    <n v="418.75400000000002"/>
  </r>
  <r>
    <s v="PROD65"/>
    <x v="65"/>
    <x v="4"/>
    <x v="8"/>
    <x v="65"/>
    <n v="240.63"/>
    <n v="423"/>
    <n v="101786.49"/>
    <s v="Available"/>
    <x v="2"/>
    <n v="336.88199999999995"/>
  </r>
  <r>
    <s v="PROD66"/>
    <x v="66"/>
    <x v="2"/>
    <x v="10"/>
    <x v="66"/>
    <n v="340.39"/>
    <n v="177"/>
    <n v="60249.03"/>
    <s v="Available"/>
    <x v="1"/>
    <n v="476.54599999999994"/>
  </r>
  <r>
    <s v="PROD67"/>
    <x v="67"/>
    <x v="0"/>
    <x v="4"/>
    <x v="67"/>
    <n v="349.17"/>
    <n v="476"/>
    <n v="166204.92000000001"/>
    <s v="Available"/>
    <x v="1"/>
    <n v="488.83799999999997"/>
  </r>
  <r>
    <s v="PROD68"/>
    <x v="68"/>
    <x v="3"/>
    <x v="22"/>
    <x v="68"/>
    <n v="243.7"/>
    <n v="130"/>
    <n v="31681"/>
    <s v="Available"/>
    <x v="2"/>
    <n v="341.17999999999995"/>
  </r>
  <r>
    <s v="PROD69"/>
    <x v="69"/>
    <x v="1"/>
    <x v="3"/>
    <x v="69"/>
    <n v="218.22"/>
    <n v="224"/>
    <n v="48881.279999999999"/>
    <s v="Available"/>
    <x v="2"/>
    <n v="305.50799999999998"/>
  </r>
  <r>
    <s v="PROD70"/>
    <x v="70"/>
    <x v="3"/>
    <x v="15"/>
    <x v="70"/>
    <n v="138.05000000000001"/>
    <n v="89"/>
    <n v="12286.45"/>
    <s v="Low Stock"/>
    <x v="0"/>
    <n v="193.27"/>
  </r>
  <r>
    <s v="PROD71"/>
    <x v="71"/>
    <x v="2"/>
    <x v="10"/>
    <x v="71"/>
    <n v="214.32"/>
    <n v="383"/>
    <n v="82084.56"/>
    <s v="Available"/>
    <x v="2"/>
    <n v="300.04799999999994"/>
  </r>
  <r>
    <s v="PROD72"/>
    <x v="72"/>
    <x v="4"/>
    <x v="8"/>
    <x v="72"/>
    <n v="477.61"/>
    <n v="300"/>
    <n v="143283"/>
    <s v="Available"/>
    <x v="1"/>
    <n v="668.654"/>
  </r>
  <r>
    <s v="PROD73"/>
    <x v="73"/>
    <x v="4"/>
    <x v="17"/>
    <x v="73"/>
    <n v="107.06"/>
    <n v="359"/>
    <n v="38434.54"/>
    <s v="Available"/>
    <x v="0"/>
    <n v="149.88399999999999"/>
  </r>
  <r>
    <s v="PROD74"/>
    <x v="74"/>
    <x v="0"/>
    <x v="7"/>
    <x v="74"/>
    <n v="403.71"/>
    <n v="159"/>
    <n v="64189.89"/>
    <s v="Available"/>
    <x v="1"/>
    <n v="565.19399999999996"/>
  </r>
  <r>
    <s v="PROD75"/>
    <x v="75"/>
    <x v="1"/>
    <x v="18"/>
    <x v="75"/>
    <n v="158.13999999999999"/>
    <n v="82"/>
    <n v="12967.48"/>
    <s v="Low Stock"/>
    <x v="0"/>
    <n v="221.39599999999996"/>
  </r>
  <r>
    <s v="PROD76"/>
    <x v="76"/>
    <x v="0"/>
    <x v="0"/>
    <x v="76"/>
    <n v="392.89"/>
    <n v="320"/>
    <n v="125724.79999999999"/>
    <s v="Available"/>
    <x v="1"/>
    <n v="550.04599999999994"/>
  </r>
  <r>
    <s v="PROD77"/>
    <x v="77"/>
    <x v="0"/>
    <x v="12"/>
    <x v="77"/>
    <n v="480.9"/>
    <n v="104"/>
    <n v="50013.599999999999"/>
    <s v="Available"/>
    <x v="1"/>
    <n v="673.25999999999988"/>
  </r>
  <r>
    <s v="PROD78"/>
    <x v="78"/>
    <x v="3"/>
    <x v="11"/>
    <x v="78"/>
    <n v="325.26"/>
    <n v="400"/>
    <n v="130104"/>
    <s v="Available"/>
    <x v="1"/>
    <n v="455.36399999999998"/>
  </r>
  <r>
    <s v="PROD79"/>
    <x v="79"/>
    <x v="3"/>
    <x v="6"/>
    <x v="79"/>
    <n v="228.53"/>
    <n v="469"/>
    <n v="107180.57"/>
    <s v="Available"/>
    <x v="2"/>
    <n v="319.94200000000001"/>
  </r>
  <r>
    <s v="PROD80"/>
    <x v="80"/>
    <x v="3"/>
    <x v="9"/>
    <x v="80"/>
    <n v="143.43"/>
    <n v="58"/>
    <n v="8318.94"/>
    <s v="Low Stock"/>
    <x v="0"/>
    <n v="200.80199999999999"/>
  </r>
  <r>
    <s v="PROD81"/>
    <x v="81"/>
    <x v="4"/>
    <x v="14"/>
    <x v="81"/>
    <n v="285.54000000000002"/>
    <n v="358"/>
    <n v="102223.32"/>
    <s v="Available"/>
    <x v="2"/>
    <n v="399.75600000000003"/>
  </r>
  <r>
    <s v="PROD82"/>
    <x v="82"/>
    <x v="4"/>
    <x v="8"/>
    <x v="82"/>
    <n v="152.91999999999999"/>
    <n v="281"/>
    <n v="42970.52"/>
    <s v="Available"/>
    <x v="0"/>
    <n v="214.08799999999997"/>
  </r>
  <r>
    <s v="PROD83"/>
    <x v="83"/>
    <x v="2"/>
    <x v="5"/>
    <x v="83"/>
    <n v="254.04361702127662"/>
    <n v="159"/>
    <n v="40392.935106382982"/>
    <s v="Available"/>
    <x v="2"/>
    <n v="355.66106382978722"/>
  </r>
  <r>
    <s v="PROD84"/>
    <x v="84"/>
    <x v="3"/>
    <x v="22"/>
    <x v="84"/>
    <n v="388.46"/>
    <n v="208"/>
    <n v="80799.679999999993"/>
    <s v="Available"/>
    <x v="1"/>
    <n v="543.84399999999994"/>
  </r>
  <r>
    <s v="PROD85"/>
    <x v="85"/>
    <x v="1"/>
    <x v="4"/>
    <x v="85"/>
    <n v="119.57"/>
    <n v="210"/>
    <n v="25109.699999999997"/>
    <s v="Available"/>
    <x v="0"/>
    <n v="167.39799999999997"/>
  </r>
  <r>
    <s v="PROD86"/>
    <x v="86"/>
    <x v="3"/>
    <x v="9"/>
    <x v="86"/>
    <n v="176.07"/>
    <n v="82"/>
    <n v="14437.74"/>
    <s v="Low Stock"/>
    <x v="0"/>
    <n v="246.49799999999996"/>
  </r>
  <r>
    <s v="PROD87"/>
    <x v="87"/>
    <x v="3"/>
    <x v="6"/>
    <x v="87"/>
    <n v="371.38"/>
    <n v="220"/>
    <n v="81703.600000000006"/>
    <s v="Available"/>
    <x v="1"/>
    <n v="519.93200000000002"/>
  </r>
  <r>
    <s v="PROD88"/>
    <x v="88"/>
    <x v="4"/>
    <x v="4"/>
    <x v="88"/>
    <n v="131.24"/>
    <n v="232"/>
    <n v="30447.68"/>
    <s v="Available"/>
    <x v="0"/>
    <n v="183.73599999999999"/>
  </r>
  <r>
    <s v="PROD89"/>
    <x v="89"/>
    <x v="2"/>
    <x v="20"/>
    <x v="89"/>
    <n v="183.04"/>
    <n v="457"/>
    <n v="83649.279999999999"/>
    <s v="Available"/>
    <x v="0"/>
    <n v="256.25599999999997"/>
  </r>
  <r>
    <s v="PROD90"/>
    <x v="90"/>
    <x v="0"/>
    <x v="4"/>
    <x v="90"/>
    <n v="340.14"/>
    <n v="361"/>
    <n v="122790.54"/>
    <s v="Available"/>
    <x v="1"/>
    <n v="476.19599999999997"/>
  </r>
  <r>
    <s v="PROD91"/>
    <x v="91"/>
    <x v="1"/>
    <x v="18"/>
    <x v="91"/>
    <n v="438.25"/>
    <n v="496"/>
    <n v="217372"/>
    <s v="Available"/>
    <x v="1"/>
    <n v="613.54999999999995"/>
  </r>
  <r>
    <s v="PROD92"/>
    <x v="92"/>
    <x v="3"/>
    <x v="12"/>
    <x v="92"/>
    <n v="447.43"/>
    <n v="191"/>
    <n v="85459.13"/>
    <s v="Available"/>
    <x v="1"/>
    <n v="626.40199999999993"/>
  </r>
  <r>
    <s v="PROD93"/>
    <x v="93"/>
    <x v="0"/>
    <x v="0"/>
    <x v="93"/>
    <n v="377.52"/>
    <n v="485"/>
    <n v="183097.19999999998"/>
    <s v="Available"/>
    <x v="1"/>
    <n v="528.52799999999991"/>
  </r>
  <r>
    <s v="PROD94"/>
    <x v="94"/>
    <x v="2"/>
    <x v="5"/>
    <x v="94"/>
    <n v="358.47"/>
    <n v="213"/>
    <n v="76354.11"/>
    <s v="Available"/>
    <x v="1"/>
    <n v="501.858"/>
  </r>
  <r>
    <s v="PROD95"/>
    <x v="95"/>
    <x v="4"/>
    <x v="4"/>
    <x v="95"/>
    <n v="60.65"/>
    <n v="75"/>
    <n v="4548.75"/>
    <s v="Low Stock"/>
    <x v="0"/>
    <n v="84.91"/>
  </r>
  <r>
    <s v="PROD96"/>
    <x v="96"/>
    <x v="1"/>
    <x v="2"/>
    <x v="96"/>
    <n v="358.47"/>
    <n v="143"/>
    <n v="51261.210000000006"/>
    <s v="Available"/>
    <x v="1"/>
    <n v="501.858"/>
  </r>
  <r>
    <s v="PROD97"/>
    <x v="97"/>
    <x v="4"/>
    <x v="17"/>
    <x v="97"/>
    <n v="245.98"/>
    <n v="471"/>
    <n v="115856.58"/>
    <s v="Available"/>
    <x v="2"/>
    <n v="344.37199999999996"/>
  </r>
  <r>
    <s v="PROD98"/>
    <x v="98"/>
    <x v="0"/>
    <x v="7"/>
    <x v="98"/>
    <n v="431.67"/>
    <n v="73"/>
    <n v="31511.91"/>
    <s v="Low Stock"/>
    <x v="1"/>
    <n v="604.33799999999997"/>
  </r>
  <r>
    <s v="PROD99"/>
    <x v="99"/>
    <x v="3"/>
    <x v="9"/>
    <x v="99"/>
    <n v="201.41"/>
    <n v="146"/>
    <n v="29405.86"/>
    <s v="Available"/>
    <x v="2"/>
    <n v="281.973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B8DE3-5CA1-4224-BA18-3DABF2360DB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18" firstHeaderRow="1" firstDataRow="1" firstDataCol="1"/>
  <pivotFields count="11">
    <pivotField showAll="0"/>
    <pivotField showAll="0"/>
    <pivotField axis="axisRow" showAll="0">
      <items count="6">
        <item x="2"/>
        <item h="1" x="1"/>
        <item h="1" x="0"/>
        <item h="1" x="3"/>
        <item h="1" x="4"/>
        <item t="default"/>
      </items>
    </pivotField>
    <pivotField showAll="0"/>
    <pivotField showAll="0"/>
    <pivotField dataField="1" numFmtId="164" showAll="0"/>
    <pivotField numFmtId="164" showAll="0"/>
    <pivotField numFmtId="2" showAll="0"/>
    <pivotField showAll="0"/>
    <pivotField showAll="0"/>
    <pivotField numFmtId="164" showAll="0"/>
  </pivotFields>
  <rowFields count="1">
    <field x="2"/>
  </rowFields>
  <rowItems count="2">
    <i>
      <x/>
    </i>
    <i t="grand">
      <x/>
    </i>
  </rowItems>
  <colItems count="1">
    <i/>
  </colItems>
  <dataFields count="1">
    <dataField name="Sum of Cos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60CC4-2E19-4C57-ACC3-CFB97528B09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D15" firstHeaderRow="0" firstDataRow="1" firstDataCol="1"/>
  <pivotFields count="11">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dataField="1" numFmtId="164" showAll="0"/>
    <pivotField dataField="1" numFmtId="164" showAll="0"/>
    <pivotField numFmtId="2" showAll="0"/>
    <pivotField showAll="0"/>
    <pivotField axis="axisRow" showAll="0">
      <items count="4">
        <item sd="0" x="0"/>
        <item sd="0" x="2"/>
        <item sd="0" x="1"/>
        <item t="default" sd="0"/>
      </items>
    </pivotField>
    <pivotField dataField="1" numFmtId="164" showAll="0"/>
  </pivotFields>
  <rowFields count="1">
    <field x="9"/>
  </rowFields>
  <rowItems count="4">
    <i>
      <x/>
    </i>
    <i>
      <x v="1"/>
    </i>
    <i>
      <x v="2"/>
    </i>
    <i t="grand">
      <x/>
    </i>
  </rowItems>
  <colFields count="1">
    <field x="-2"/>
  </colFields>
  <colItems count="3">
    <i>
      <x/>
    </i>
    <i i="1">
      <x v="1"/>
    </i>
    <i i="2">
      <x v="2"/>
    </i>
  </colItems>
  <dataFields count="3">
    <dataField name="Sum of Estimate price" fld="10" baseField="0" baseItem="0" numFmtId="164"/>
    <dataField name="Sum of Stock" fld="6" baseField="0" baseItem="0" numFmtId="164"/>
    <dataField name="Sum of Cost" fld="5" baseField="0" baseItem="0" numFmtId="164"/>
  </dataFields>
  <chartFormats count="1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9" count="1" selected="0">
            <x v="0"/>
          </reference>
        </references>
      </pivotArea>
    </chartFormat>
    <chartFormat chart="6" format="17">
      <pivotArea type="data" outline="0" fieldPosition="0">
        <references count="2">
          <reference field="4294967294" count="1" selected="0">
            <x v="0"/>
          </reference>
          <reference field="9" count="1" selected="0">
            <x v="1"/>
          </reference>
        </references>
      </pivotArea>
    </chartFormat>
    <chartFormat chart="6" format="18">
      <pivotArea type="data" outline="0" fieldPosition="0">
        <references count="2">
          <reference field="4294967294" count="1" selected="0">
            <x v="0"/>
          </reference>
          <reference field="9" count="1" selected="0">
            <x v="2"/>
          </reference>
        </references>
      </pivotArea>
    </chartFormat>
    <chartFormat chart="6" format="19" series="1">
      <pivotArea type="data" outline="0" fieldPosition="0">
        <references count="1">
          <reference field="4294967294" count="1" selected="0">
            <x v="1"/>
          </reference>
        </references>
      </pivotArea>
    </chartFormat>
    <chartFormat chart="6" format="20">
      <pivotArea type="data" outline="0" fieldPosition="0">
        <references count="2">
          <reference field="4294967294" count="1" selected="0">
            <x v="1"/>
          </reference>
          <reference field="9" count="1" selected="0">
            <x v="0"/>
          </reference>
        </references>
      </pivotArea>
    </chartFormat>
    <chartFormat chart="6" format="21">
      <pivotArea type="data" outline="0" fieldPosition="0">
        <references count="2">
          <reference field="4294967294" count="1" selected="0">
            <x v="1"/>
          </reference>
          <reference field="9" count="1" selected="0">
            <x v="1"/>
          </reference>
        </references>
      </pivotArea>
    </chartFormat>
    <chartFormat chart="6" format="22">
      <pivotArea type="data" outline="0" fieldPosition="0">
        <references count="2">
          <reference field="4294967294" count="1" selected="0">
            <x v="1"/>
          </reference>
          <reference field="9" count="1" selected="0">
            <x v="2"/>
          </reference>
        </references>
      </pivotArea>
    </chartFormat>
    <chartFormat chart="6" format="23" series="1">
      <pivotArea type="data" outline="0" fieldPosition="0">
        <references count="1">
          <reference field="4294967294" count="1" selected="0">
            <x v="2"/>
          </reference>
        </references>
      </pivotArea>
    </chartFormat>
    <chartFormat chart="6" format="24">
      <pivotArea type="data" outline="0" fieldPosition="0">
        <references count="2">
          <reference field="4294967294" count="1" selected="0">
            <x v="2"/>
          </reference>
          <reference field="9" count="1" selected="0">
            <x v="0"/>
          </reference>
        </references>
      </pivotArea>
    </chartFormat>
    <chartFormat chart="6" format="25">
      <pivotArea type="data" outline="0" fieldPosition="0">
        <references count="2">
          <reference field="4294967294" count="1" selected="0">
            <x v="2"/>
          </reference>
          <reference field="9" count="1" selected="0">
            <x v="1"/>
          </reference>
        </references>
      </pivotArea>
    </chartFormat>
    <chartFormat chart="6" format="26">
      <pivotArea type="data" outline="0" fieldPosition="0">
        <references count="2">
          <reference field="4294967294"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93653-1360-425B-963B-24D131B2B8F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7" firstHeaderRow="1" firstDataRow="1" firstDataCol="1"/>
  <pivotFields count="11">
    <pivotField showAll="0"/>
    <pivotField showAll="0"/>
    <pivotField showAll="0"/>
    <pivotField showAll="0"/>
    <pivotField showAll="0"/>
    <pivotField numFmtId="164" showAll="0"/>
    <pivotField dataField="1" numFmtId="164" showAll="0"/>
    <pivotField numFmtId="2" showAll="0"/>
    <pivotField showAll="0"/>
    <pivotField axis="axisRow" showAll="0">
      <items count="4">
        <item x="0"/>
        <item x="2"/>
        <item x="1"/>
        <item t="default"/>
      </items>
    </pivotField>
    <pivotField numFmtId="164" showAll="0"/>
  </pivotFields>
  <rowFields count="1">
    <field x="9"/>
  </rowFields>
  <rowItems count="4">
    <i>
      <x/>
    </i>
    <i>
      <x v="1"/>
    </i>
    <i>
      <x v="2"/>
    </i>
    <i t="grand">
      <x/>
    </i>
  </rowItems>
  <colItems count="1">
    <i/>
  </colItems>
  <dataFields count="1">
    <dataField name="Sum of Stock" fld="6"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6ACA42-5C00-4AED-9D40-605986831FF6}"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11">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numFmtId="164" showAll="0"/>
    <pivotField numFmtId="164" showAll="0"/>
    <pivotField dataField="1" numFmtId="2" showAll="0"/>
    <pivotField showAll="0"/>
    <pivotField axis="axisRow" showAll="0">
      <items count="4">
        <item sd="0" x="0"/>
        <item sd="0" x="2"/>
        <item sd="0" x="1"/>
        <item t="default" sd="0"/>
      </items>
    </pivotField>
    <pivotField numFmtId="164" showAll="0"/>
  </pivotFields>
  <rowFields count="2">
    <field x="9"/>
    <field x="0"/>
  </rowFields>
  <rowItems count="4">
    <i>
      <x/>
    </i>
    <i>
      <x v="1"/>
    </i>
    <i>
      <x v="2"/>
    </i>
    <i t="grand">
      <x/>
    </i>
  </rowItems>
  <colItems count="1">
    <i/>
  </colItems>
  <dataFields count="1">
    <dataField name="Sum of Total Inventory Value" fld="7" baseField="0" baseItem="0" numFmtId="2"/>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468CFC-55AF-4A0C-BC22-F02F90212102}"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1:J14" firstHeaderRow="1" firstDataRow="2" firstDataCol="1"/>
  <pivotFields count="11">
    <pivotField dataField="1" showAll="0"/>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pivotField showAll="0"/>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numFmtId="164" showAll="0"/>
    <pivotField numFmtId="164" showAll="0">
      <items count="91">
        <item h="1" x="29"/>
        <item h="1" x="75"/>
        <item h="1" x="5"/>
        <item h="1" x="19"/>
        <item h="1" x="88"/>
        <item h="1" x="85"/>
        <item h="1" x="20"/>
        <item h="1" x="49"/>
        <item h="1" x="33"/>
        <item h="1" x="66"/>
        <item h="1" x="45"/>
        <item h="1" x="72"/>
        <item h="1" x="42"/>
        <item h="1" x="60"/>
        <item h="1" x="50"/>
        <item h="1" x="64"/>
        <item h="1" x="27"/>
        <item h="1" x="53"/>
        <item h="1" x="8"/>
        <item h="1" x="86"/>
        <item h="1" x="89"/>
        <item h="1" x="35"/>
        <item h="1" x="70"/>
        <item h="1" x="7"/>
        <item h="1" x="62"/>
        <item h="1" x="1"/>
        <item h="1" x="51"/>
        <item h="1" x="52"/>
        <item h="1" x="84"/>
        <item h="1" x="77"/>
        <item h="1" x="78"/>
        <item h="1" x="25"/>
        <item h="1" x="36"/>
        <item h="1" x="79"/>
        <item h="1" x="58"/>
        <item h="1" x="65"/>
        <item h="1" x="80"/>
        <item h="1" x="31"/>
        <item h="1" x="48"/>
        <item h="1" x="16"/>
        <item h="1" x="47"/>
        <item h="1" x="40"/>
        <item h="1" x="46"/>
        <item h="1" x="24"/>
        <item h="1" x="11"/>
        <item h="1" x="28"/>
        <item h="1" x="30"/>
        <item h="1" x="43"/>
        <item h="1" x="68"/>
        <item h="1" x="15"/>
        <item h="1" x="32"/>
        <item h="1" x="10"/>
        <item h="1" x="41"/>
        <item h="1" x="71"/>
        <item h="1" x="9"/>
        <item h="1" x="34"/>
        <item h="1" x="23"/>
        <item h="1" x="18"/>
        <item h="1" x="6"/>
        <item h="1" x="2"/>
        <item h="1" x="76"/>
        <item h="1" x="69"/>
        <item h="1" x="22"/>
        <item h="1" x="82"/>
        <item h="1" x="17"/>
        <item h="1" x="38"/>
        <item x="26"/>
        <item h="1" x="67"/>
        <item h="1" x="39"/>
        <item h="1" x="37"/>
        <item h="1" x="55"/>
        <item h="1" x="73"/>
        <item h="1" x="0"/>
        <item h="1" x="61"/>
        <item h="1" x="44"/>
        <item h="1" x="21"/>
        <item h="1" x="14"/>
        <item h="1" x="56"/>
        <item h="1" x="3"/>
        <item h="1" x="13"/>
        <item h="1" x="81"/>
        <item h="1" x="59"/>
        <item h="1" x="12"/>
        <item h="1" x="57"/>
        <item h="1" x="74"/>
        <item h="1" x="87"/>
        <item h="1" x="63"/>
        <item h="1" x="54"/>
        <item h="1" x="4"/>
        <item h="1" x="83"/>
        <item t="default"/>
      </items>
    </pivotField>
    <pivotField numFmtId="2" showAll="0">
      <items count="101">
        <item h="1" x="30"/>
        <item h="1" x="19"/>
        <item h="1" x="57"/>
        <item h="1" x="95"/>
        <item h="1" x="28"/>
        <item h="1" x="59"/>
        <item h="1" x="80"/>
        <item h="1" x="21"/>
        <item h="1" x="49"/>
        <item x="70"/>
        <item h="1" x="75"/>
        <item h="1" x="86"/>
        <item h="1" x="40"/>
        <item h="1" x="5"/>
        <item h="1" x="52"/>
        <item h="1" x="48"/>
        <item h="1" x="62"/>
        <item h="1" x="14"/>
        <item h="1" x="51"/>
        <item h="1" x="55"/>
        <item h="1" x="85"/>
        <item h="1" x="99"/>
        <item h="1" x="88"/>
        <item h="1" x="98"/>
        <item h="1" x="68"/>
        <item h="1" x="36"/>
        <item h="1" x="64"/>
        <item h="1" x="20"/>
        <item h="1" x="34"/>
        <item h="1" x="45"/>
        <item h="1" x="7"/>
        <item h="1" x="73"/>
        <item h="1" x="83"/>
        <item h="1" x="82"/>
        <item h="1" x="25"/>
        <item h="1" x="0"/>
        <item h="1" x="61"/>
        <item h="1" x="53"/>
        <item h="1" x="69"/>
        <item h="1" x="50"/>
        <item h="1" x="46"/>
        <item h="1" x="77"/>
        <item h="1" x="96"/>
        <item h="1" x="44"/>
        <item h="1" x="17"/>
        <item h="1" x="12"/>
        <item h="1" x="38"/>
        <item h="1" x="33"/>
        <item h="1" x="58"/>
        <item h="1" x="24"/>
        <item h="1" x="31"/>
        <item h="1" x="66"/>
        <item h="1" x="29"/>
        <item h="1" x="1"/>
        <item h="1" x="8"/>
        <item h="1" x="74"/>
        <item h="1" x="43"/>
        <item h="1" x="26"/>
        <item h="1" x="32"/>
        <item h="1" x="37"/>
        <item h="1" x="94"/>
        <item h="1" x="54"/>
        <item h="1" x="84"/>
        <item h="1" x="87"/>
        <item h="1" x="71"/>
        <item h="1" x="89"/>
        <item h="1" x="92"/>
        <item h="1" x="16"/>
        <item h="1" x="18"/>
        <item h="1" x="56"/>
        <item h="1" x="2"/>
        <item h="1" x="23"/>
        <item h="1" x="10"/>
        <item h="1" x="27"/>
        <item h="1" x="39"/>
        <item h="1" x="65"/>
        <item h="1" x="81"/>
        <item h="1" x="79"/>
        <item h="1" x="6"/>
        <item h="1" x="47"/>
        <item h="1" x="13"/>
        <item h="1" x="41"/>
        <item h="1" x="97"/>
        <item h="1" x="63"/>
        <item h="1" x="90"/>
        <item h="1" x="11"/>
        <item h="1" x="76"/>
        <item h="1" x="35"/>
        <item h="1" x="78"/>
        <item h="1" x="15"/>
        <item h="1" x="72"/>
        <item h="1" x="4"/>
        <item h="1" x="9"/>
        <item h="1" x="3"/>
        <item h="1" x="67"/>
        <item h="1" x="42"/>
        <item h="1" x="93"/>
        <item h="1" x="22"/>
        <item h="1" x="60"/>
        <item h="1" x="91"/>
        <item t="default"/>
      </items>
    </pivotField>
    <pivotField axis="axisRow" showAll="0">
      <items count="3">
        <item sd="0" x="0"/>
        <item h="1" sd="0" x="1"/>
        <item t="default" sd="0"/>
      </items>
    </pivotField>
    <pivotField axis="axisCol" showAll="0">
      <items count="4">
        <item x="0"/>
        <item x="2"/>
        <item x="1"/>
        <item t="default"/>
      </items>
    </pivotField>
    <pivotField numFmtId="164" showAll="0">
      <items count="95">
        <item x="55"/>
        <item x="27"/>
        <item x="18"/>
        <item x="53"/>
        <item x="37"/>
        <item x="25"/>
        <item h="1"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64"/>
        <item x="91"/>
        <item x="40"/>
        <item x="2"/>
        <item x="5"/>
        <item x="59"/>
        <item x="29"/>
        <item x="77"/>
        <item x="10"/>
        <item x="60"/>
        <item x="4"/>
        <item x="6"/>
        <item x="38"/>
        <item x="42"/>
        <item x="24"/>
        <item x="74"/>
        <item x="36"/>
        <item x="16"/>
        <item x="85"/>
        <item x="62"/>
        <item x="1"/>
        <item x="63"/>
        <item x="34"/>
        <item x="89"/>
        <item x="3"/>
        <item x="82"/>
        <item x="88"/>
        <item x="32"/>
        <item x="49"/>
        <item x="79"/>
        <item x="72"/>
        <item x="70"/>
        <item h="1" x="31"/>
        <item x="92"/>
        <item x="50"/>
        <item x="86"/>
        <item x="8"/>
        <item h="1" x="87"/>
        <item h="1" x="11"/>
        <item h="1" x="39"/>
        <item x="52"/>
        <item x="15"/>
        <item x="68"/>
        <item x="73"/>
        <item x="56"/>
        <item x="21"/>
        <item x="9"/>
        <item t="default"/>
      </items>
    </pivotField>
  </pivotFields>
  <rowFields count="2">
    <field x="8"/>
    <field x="1"/>
  </rowFields>
  <rowItems count="2">
    <i>
      <x/>
    </i>
    <i t="grand">
      <x/>
    </i>
  </rowItems>
  <colFields count="1">
    <field x="9"/>
  </colFields>
  <colItems count="4">
    <i>
      <x/>
    </i>
    <i>
      <x v="1"/>
    </i>
    <i>
      <x v="2"/>
    </i>
    <i t="grand">
      <x/>
    </i>
  </colItems>
  <dataFields count="1">
    <dataField name="Count of Product_ID" fld="0"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FF2B6B10-360C-4C53-8D1F-869A0B0F7CDB}" sourceName="Stock Status">
  <pivotTables>
    <pivotTable tabId="6" name="PivotTable13"/>
  </pivotTables>
  <data>
    <tabular pivotCacheId="7400835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AC73000F-2DD9-4339-BF69-49FBD811EDA4}" sourceName="Price Range">
  <pivotTables>
    <pivotTable tabId="6" name="PivotTable16"/>
  </pivotTables>
  <data>
    <tabular pivotCacheId="17510082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133A6A8-3BD1-4E7D-BDAB-7FAA2579D93E}" sourceName="Category">
  <pivotTables>
    <pivotTable tabId="6" name="PivotTable3"/>
  </pivotTables>
  <data>
    <tabular pivotCacheId="552788988">
      <items count="5">
        <i x="2" s="1"/>
        <i x="1"/>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Status 1" xr10:uid="{1388A07C-FFA3-4094-B6A4-47F3EA4B4B78}" cache="Slicer_Stock_Status" caption="Stock Status" rowHeight="241300"/>
  <slicer name="Price Range 1" xr10:uid="{832D7FA4-EBD9-4161-B7A0-5D6CC645C636}" cache="Slicer_Price_Range" caption="Price Range" rowHeight="241300"/>
  <slicer name="Category 1" xr10:uid="{5EC8E670-B63E-4BF2-9C03-B30335FB9F2E}"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085658-ADD2-40BE-90B2-734E81211C01}" name="Table1" displayName="Table1" ref="A1:K101" totalsRowShown="0">
  <autoFilter ref="A1:K101" xr:uid="{90085658-ADD2-40BE-90B2-734E81211C01}"/>
  <tableColumns count="11">
    <tableColumn id="1" xr3:uid="{73DECDF1-AC0B-43CA-85A9-2C79AD745DC5}" name="Product_ID" dataDxfId="14"/>
    <tableColumn id="2" xr3:uid="{6E700EE9-FAFC-425E-BAEB-856439B6D40D}" name="Product_name" dataDxfId="13"/>
    <tableColumn id="3" xr3:uid="{8FD1DC18-4C85-4850-AA50-F21C7D380EBD}" name="Category" dataDxfId="12"/>
    <tableColumn id="4" xr3:uid="{AB52F2EB-8307-4C8E-BFF6-647B037E3FA2}" name="Sub_Category" dataDxfId="11"/>
    <tableColumn id="5" xr3:uid="{55C0B819-1BDE-4D36-98E1-CAB283F4A57E}" name="Brand" dataDxfId="10"/>
    <tableColumn id="6" xr3:uid="{72F678C7-3B64-43F8-94C1-F4BD53C0E6BC}" name="Cost" dataDxfId="9"/>
    <tableColumn id="7" xr3:uid="{8B1385B0-1454-451F-88D7-A555892D74E0}" name="Stock" dataDxfId="8"/>
    <tableColumn id="8" xr3:uid="{6D751321-4C78-4988-ACCA-3C5EA17306DA}" name="Total Inventory Value" dataDxfId="7">
      <calculatedColumnFormula>F2*G2</calculatedColumnFormula>
    </tableColumn>
    <tableColumn id="9" xr3:uid="{4ADAFEE4-E54C-49BC-9773-625C8B0A7E4C}" name="Stock Status" dataDxfId="6">
      <calculatedColumnFormula>IF(G2&gt;100,"Available","Low Stock")</calculatedColumnFormula>
    </tableColumn>
    <tableColumn id="10" xr3:uid="{E99CECB5-FCB1-461C-8C47-92D7C9F9495D}" name="Price Range" dataDxfId="5">
      <calculatedColumnFormula>IF(F2&gt;300,"premium",IF(F2&gt;200,"Mid range","Low Budget"))</calculatedColumnFormula>
    </tableColumn>
    <tableColumn id="11" xr3:uid="{14861AA8-FF5E-4051-B924-42482E3F9CB9}" name="Estimate price" dataDxfId="4">
      <calculatedColumnFormula>F2*1.4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9F86-88B9-4A3C-A437-2FFB0598B192}">
  <dimension ref="A3:J18"/>
  <sheetViews>
    <sheetView topLeftCell="A3" workbookViewId="0">
      <selection activeCell="F13" sqref="F13"/>
    </sheetView>
  </sheetViews>
  <sheetFormatPr defaultRowHeight="15" x14ac:dyDescent="0.25"/>
  <cols>
    <col min="1" max="3" width="13.140625" bestFit="1" customWidth="1"/>
    <col min="4" max="4" width="11.42578125" bestFit="1" customWidth="1"/>
    <col min="5" max="5" width="12.28515625" bestFit="1" customWidth="1"/>
    <col min="6" max="6" width="19" bestFit="1" customWidth="1"/>
    <col min="7" max="7" width="16.28515625" bestFit="1" customWidth="1"/>
    <col min="8" max="8" width="10" bestFit="1" customWidth="1"/>
    <col min="10" max="10" width="11.28515625" bestFit="1" customWidth="1"/>
  </cols>
  <sheetData>
    <row r="3" spans="1:10" x14ac:dyDescent="0.25">
      <c r="D3" s="18" t="s">
        <v>354</v>
      </c>
      <c r="E3" t="s">
        <v>357</v>
      </c>
      <c r="G3" s="18" t="s">
        <v>354</v>
      </c>
      <c r="H3" t="s">
        <v>362</v>
      </c>
    </row>
    <row r="4" spans="1:10" x14ac:dyDescent="0.25">
      <c r="D4" s="19" t="s">
        <v>358</v>
      </c>
      <c r="E4" s="8">
        <v>9370.9896907216498</v>
      </c>
      <c r="G4" s="19" t="s">
        <v>358</v>
      </c>
      <c r="H4" s="1">
        <v>1085876.9007216494</v>
      </c>
    </row>
    <row r="5" spans="1:10" x14ac:dyDescent="0.25">
      <c r="D5" s="19" t="s">
        <v>359</v>
      </c>
      <c r="E5" s="8">
        <v>7496</v>
      </c>
      <c r="G5" s="19" t="s">
        <v>359</v>
      </c>
      <c r="H5" s="1">
        <v>1851118.9372340427</v>
      </c>
    </row>
    <row r="6" spans="1:10" x14ac:dyDescent="0.25">
      <c r="D6" s="19" t="s">
        <v>360</v>
      </c>
      <c r="E6" s="8">
        <v>10482.494845360825</v>
      </c>
      <c r="G6" s="19" t="s">
        <v>360</v>
      </c>
      <c r="H6" s="1">
        <v>4099184.6235051546</v>
      </c>
    </row>
    <row r="7" spans="1:10" x14ac:dyDescent="0.25">
      <c r="D7" s="19" t="s">
        <v>356</v>
      </c>
      <c r="E7" s="8">
        <v>27349.484536082477</v>
      </c>
      <c r="G7" s="19" t="s">
        <v>356</v>
      </c>
      <c r="H7" s="1">
        <v>7036180.4614608465</v>
      </c>
    </row>
    <row r="11" spans="1:10" x14ac:dyDescent="0.25">
      <c r="A11" s="18" t="s">
        <v>354</v>
      </c>
      <c r="B11" t="s">
        <v>361</v>
      </c>
      <c r="C11" t="s">
        <v>357</v>
      </c>
      <c r="D11" t="s">
        <v>355</v>
      </c>
      <c r="F11" s="18" t="s">
        <v>365</v>
      </c>
      <c r="G11" s="18" t="s">
        <v>363</v>
      </c>
    </row>
    <row r="12" spans="1:10" x14ac:dyDescent="0.25">
      <c r="A12" s="19" t="s">
        <v>358</v>
      </c>
      <c r="B12" s="8">
        <v>5722.3739999999971</v>
      </c>
      <c r="C12" s="8">
        <v>9370.9896907216498</v>
      </c>
      <c r="D12" s="8">
        <v>4087.4099999999994</v>
      </c>
      <c r="F12" s="18" t="s">
        <v>354</v>
      </c>
      <c r="G12" t="s">
        <v>358</v>
      </c>
      <c r="H12" t="s">
        <v>359</v>
      </c>
      <c r="I12" t="s">
        <v>360</v>
      </c>
      <c r="J12" t="s">
        <v>356</v>
      </c>
    </row>
    <row r="13" spans="1:10" x14ac:dyDescent="0.25">
      <c r="A13" s="19" t="s">
        <v>359</v>
      </c>
      <c r="B13" s="8">
        <v>8939.3243829787225</v>
      </c>
      <c r="C13" s="8">
        <v>7496</v>
      </c>
      <c r="D13" s="8">
        <v>6385.2317021276585</v>
      </c>
      <c r="F13" s="19" t="s">
        <v>364</v>
      </c>
      <c r="G13" s="20">
        <v>28</v>
      </c>
      <c r="H13" s="20">
        <v>24</v>
      </c>
      <c r="I13" s="20">
        <v>36</v>
      </c>
      <c r="J13" s="20">
        <v>88</v>
      </c>
    </row>
    <row r="14" spans="1:10" x14ac:dyDescent="0.25">
      <c r="A14" s="19" t="s">
        <v>360</v>
      </c>
      <c r="B14" s="8">
        <v>20904.407999999999</v>
      </c>
      <c r="C14" s="8">
        <v>10482.494845360825</v>
      </c>
      <c r="D14" s="8">
        <v>14931.719999999998</v>
      </c>
      <c r="F14" s="19" t="s">
        <v>356</v>
      </c>
      <c r="G14" s="20">
        <v>28</v>
      </c>
      <c r="H14" s="20">
        <v>24</v>
      </c>
      <c r="I14" s="20">
        <v>36</v>
      </c>
      <c r="J14" s="20">
        <v>88</v>
      </c>
    </row>
    <row r="15" spans="1:10" x14ac:dyDescent="0.25">
      <c r="A15" s="19" t="s">
        <v>356</v>
      </c>
      <c r="B15" s="8">
        <v>35566.106382978716</v>
      </c>
      <c r="C15" s="8">
        <v>27349.484536082477</v>
      </c>
      <c r="D15" s="8">
        <v>25404.361702127655</v>
      </c>
    </row>
    <row r="16" spans="1:10" x14ac:dyDescent="0.25">
      <c r="C16" s="18" t="s">
        <v>354</v>
      </c>
      <c r="D16" t="s">
        <v>355</v>
      </c>
    </row>
    <row r="17" spans="3:4" x14ac:dyDescent="0.25">
      <c r="C17" s="19" t="s">
        <v>26</v>
      </c>
      <c r="D17" s="8">
        <v>3763.4972340425534</v>
      </c>
    </row>
    <row r="18" spans="3:4" x14ac:dyDescent="0.25">
      <c r="C18" s="19" t="s">
        <v>356</v>
      </c>
      <c r="D18" s="8">
        <v>3763.4972340425534</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98F1-FBD7-4740-816C-4A15DA6A2590}">
  <dimension ref="A1:K101"/>
  <sheetViews>
    <sheetView topLeftCell="B2" workbookViewId="0">
      <selection activeCell="H4" sqref="H4"/>
    </sheetView>
  </sheetViews>
  <sheetFormatPr defaultRowHeight="15" x14ac:dyDescent="0.25"/>
  <cols>
    <col min="1" max="1" width="15.140625" style="4" customWidth="1"/>
    <col min="2" max="2" width="27.85546875" customWidth="1"/>
    <col min="3" max="3" width="16.85546875" style="4" customWidth="1"/>
    <col min="4" max="4" width="22" style="4" customWidth="1"/>
    <col min="5" max="5" width="19.42578125" style="4" customWidth="1"/>
    <col min="6" max="6" width="19.28515625" style="8" customWidth="1"/>
    <col min="7" max="7" width="9.140625" style="8"/>
    <col min="8" max="8" width="25.28515625" style="1" customWidth="1"/>
    <col min="9" max="9" width="25.7109375" style="4" customWidth="1"/>
    <col min="10" max="10" width="18.42578125" style="4" customWidth="1"/>
    <col min="11" max="11" width="21" style="8" customWidth="1"/>
  </cols>
  <sheetData>
    <row r="1" spans="1:11" x14ac:dyDescent="0.25">
      <c r="A1" s="3" t="s">
        <v>0</v>
      </c>
      <c r="B1" s="2" t="s">
        <v>256</v>
      </c>
      <c r="C1" s="17" t="s">
        <v>1</v>
      </c>
      <c r="D1" s="3" t="s">
        <v>2</v>
      </c>
      <c r="E1" s="3" t="s">
        <v>3</v>
      </c>
      <c r="F1" s="9" t="s">
        <v>4</v>
      </c>
      <c r="G1" s="9" t="s">
        <v>5</v>
      </c>
      <c r="H1" s="5" t="s">
        <v>334</v>
      </c>
      <c r="I1" s="6" t="s">
        <v>333</v>
      </c>
      <c r="J1" s="10" t="s">
        <v>335</v>
      </c>
      <c r="K1" s="7" t="s">
        <v>336</v>
      </c>
    </row>
    <row r="2" spans="1:11" x14ac:dyDescent="0.25">
      <c r="A2" s="4" t="s">
        <v>6</v>
      </c>
      <c r="B2" s="4" t="s">
        <v>7</v>
      </c>
      <c r="C2" s="4" t="s">
        <v>8</v>
      </c>
      <c r="D2" s="4" t="s">
        <v>9</v>
      </c>
      <c r="E2" s="4" t="s">
        <v>10</v>
      </c>
      <c r="F2" s="8">
        <v>112.42</v>
      </c>
      <c r="G2" s="8">
        <v>416</v>
      </c>
      <c r="H2" s="1">
        <f t="shared" ref="H2:H33" si="0">F2*G2</f>
        <v>46766.720000000001</v>
      </c>
      <c r="I2" s="4" t="str">
        <f>IF(G2&gt;100,"Available","Low Stock")</f>
        <v>Available</v>
      </c>
      <c r="J2" s="4" t="str">
        <f t="shared" ref="J2:J33" si="1">IF(F2&gt;300,"premium",IF(F2&gt;200,"Mid range","Low Budget"))</f>
        <v>Low Budget</v>
      </c>
      <c r="K2" s="8">
        <f t="shared" ref="K2:K33" si="2">F2*1.4</f>
        <v>157.38800000000001</v>
      </c>
    </row>
    <row r="3" spans="1:11" x14ac:dyDescent="0.25">
      <c r="A3" s="4" t="s">
        <v>11</v>
      </c>
      <c r="B3" s="4" t="s">
        <v>257</v>
      </c>
      <c r="C3" s="4" t="s">
        <v>12</v>
      </c>
      <c r="D3" s="4" t="s">
        <v>13</v>
      </c>
      <c r="E3" s="4" t="s">
        <v>14</v>
      </c>
      <c r="F3" s="8">
        <v>342.56</v>
      </c>
      <c r="G3" s="8">
        <v>181</v>
      </c>
      <c r="H3" s="1">
        <f t="shared" si="0"/>
        <v>62003.360000000001</v>
      </c>
      <c r="I3" s="4" t="str">
        <f t="shared" ref="I3:I66" si="3">IF(G3&gt;100,"Available","Low Stock")</f>
        <v>Available</v>
      </c>
      <c r="J3" s="4" t="str">
        <f t="shared" si="1"/>
        <v>premium</v>
      </c>
      <c r="K3" s="8">
        <f t="shared" si="2"/>
        <v>479.58399999999995</v>
      </c>
    </row>
    <row r="4" spans="1:11" x14ac:dyDescent="0.25">
      <c r="A4" s="4" t="s">
        <v>15</v>
      </c>
      <c r="B4" s="4" t="s">
        <v>258</v>
      </c>
      <c r="C4" s="4" t="s">
        <v>12</v>
      </c>
      <c r="D4" s="4" t="s">
        <v>16</v>
      </c>
      <c r="E4" s="4" t="s">
        <v>17</v>
      </c>
      <c r="F4" s="8">
        <v>254.04361702127662</v>
      </c>
      <c r="G4" s="8">
        <v>352</v>
      </c>
      <c r="H4" s="1">
        <f t="shared" si="0"/>
        <v>89423.353191489368</v>
      </c>
      <c r="I4" s="4" t="str">
        <f t="shared" si="3"/>
        <v>Available</v>
      </c>
      <c r="J4" s="4" t="str">
        <f t="shared" si="1"/>
        <v>Mid range</v>
      </c>
      <c r="K4" s="8">
        <f t="shared" si="2"/>
        <v>355.66106382978722</v>
      </c>
    </row>
    <row r="5" spans="1:11" x14ac:dyDescent="0.25">
      <c r="A5" s="4" t="s">
        <v>337</v>
      </c>
      <c r="B5" s="4" t="s">
        <v>259</v>
      </c>
      <c r="C5" s="4" t="s">
        <v>12</v>
      </c>
      <c r="D5" s="4" t="s">
        <v>16</v>
      </c>
      <c r="E5" s="4" t="s">
        <v>18</v>
      </c>
      <c r="F5" s="8">
        <v>364.67</v>
      </c>
      <c r="G5" s="8">
        <v>452</v>
      </c>
      <c r="H5" s="1">
        <f t="shared" si="0"/>
        <v>164830.84</v>
      </c>
      <c r="I5" s="4" t="str">
        <f t="shared" si="3"/>
        <v>Available</v>
      </c>
      <c r="J5" s="4" t="str">
        <f t="shared" si="1"/>
        <v>premium</v>
      </c>
      <c r="K5" s="8">
        <f t="shared" si="2"/>
        <v>510.53800000000001</v>
      </c>
    </row>
    <row r="6" spans="1:11" x14ac:dyDescent="0.25">
      <c r="A6" s="4" t="s">
        <v>19</v>
      </c>
      <c r="B6" s="4" t="s">
        <v>260</v>
      </c>
      <c r="C6" s="4" t="s">
        <v>12</v>
      </c>
      <c r="D6" s="4" t="s">
        <v>20</v>
      </c>
      <c r="E6" s="4" t="s">
        <v>21</v>
      </c>
      <c r="F6" s="8">
        <v>306.45999999999998</v>
      </c>
      <c r="G6" s="8">
        <v>487</v>
      </c>
      <c r="H6" s="1">
        <f t="shared" si="0"/>
        <v>149246.01999999999</v>
      </c>
      <c r="I6" s="4" t="str">
        <f t="shared" si="3"/>
        <v>Available</v>
      </c>
      <c r="J6" s="4" t="str">
        <f t="shared" si="1"/>
        <v>premium</v>
      </c>
      <c r="K6" s="8">
        <f t="shared" si="2"/>
        <v>429.04399999999993</v>
      </c>
    </row>
    <row r="7" spans="1:11" x14ac:dyDescent="0.25">
      <c r="A7" s="4" t="s">
        <v>22</v>
      </c>
      <c r="B7" s="4" t="s">
        <v>261</v>
      </c>
      <c r="C7" s="4" t="s">
        <v>12</v>
      </c>
      <c r="D7" s="4" t="s">
        <v>23</v>
      </c>
      <c r="E7" s="4" t="s">
        <v>289</v>
      </c>
      <c r="F7" s="8">
        <v>261</v>
      </c>
      <c r="G7" s="8">
        <v>59</v>
      </c>
      <c r="H7" s="1">
        <f t="shared" si="0"/>
        <v>15399</v>
      </c>
      <c r="I7" s="4" t="str">
        <f t="shared" si="3"/>
        <v>Low Stock</v>
      </c>
      <c r="J7" s="4" t="str">
        <f t="shared" si="1"/>
        <v>Mid range</v>
      </c>
      <c r="K7" s="8">
        <f t="shared" si="2"/>
        <v>365.4</v>
      </c>
    </row>
    <row r="8" spans="1:11" x14ac:dyDescent="0.25">
      <c r="A8" s="4" t="s">
        <v>24</v>
      </c>
      <c r="B8" s="4" t="s">
        <v>25</v>
      </c>
      <c r="C8" s="4" t="s">
        <v>26</v>
      </c>
      <c r="D8" s="4" t="s">
        <v>27</v>
      </c>
      <c r="E8" s="4" t="s">
        <v>290</v>
      </c>
      <c r="F8" s="8">
        <v>312.8</v>
      </c>
      <c r="G8" s="8">
        <v>350</v>
      </c>
      <c r="H8" s="1">
        <f t="shared" si="0"/>
        <v>109480</v>
      </c>
      <c r="I8" s="4" t="str">
        <f t="shared" si="3"/>
        <v>Available</v>
      </c>
      <c r="J8" s="4" t="str">
        <f t="shared" si="1"/>
        <v>premium</v>
      </c>
      <c r="K8" s="8">
        <f t="shared" si="2"/>
        <v>437.92</v>
      </c>
    </row>
    <row r="9" spans="1:11" x14ac:dyDescent="0.25">
      <c r="A9" s="4" t="s">
        <v>28</v>
      </c>
      <c r="B9" s="4" t="s">
        <v>262</v>
      </c>
      <c r="C9" s="4" t="s">
        <v>29</v>
      </c>
      <c r="D9" s="4" t="s">
        <v>30</v>
      </c>
      <c r="E9" s="4" t="s">
        <v>291</v>
      </c>
      <c r="F9" s="8">
        <v>218.86</v>
      </c>
      <c r="G9" s="8">
        <v>170</v>
      </c>
      <c r="H9" s="1">
        <f t="shared" si="0"/>
        <v>37206.200000000004</v>
      </c>
      <c r="I9" s="4" t="str">
        <f t="shared" si="3"/>
        <v>Available</v>
      </c>
      <c r="J9" s="4" t="str">
        <f t="shared" si="1"/>
        <v>Mid range</v>
      </c>
      <c r="K9" s="8">
        <f t="shared" si="2"/>
        <v>306.404</v>
      </c>
    </row>
    <row r="10" spans="1:11" x14ac:dyDescent="0.25">
      <c r="A10" s="4" t="s">
        <v>31</v>
      </c>
      <c r="B10" s="4" t="s">
        <v>32</v>
      </c>
      <c r="C10" s="4" t="s">
        <v>8</v>
      </c>
      <c r="D10" s="4" t="s">
        <v>33</v>
      </c>
      <c r="E10" s="4" t="s">
        <v>34</v>
      </c>
      <c r="F10" s="8">
        <v>439.07</v>
      </c>
      <c r="G10" s="8">
        <v>142</v>
      </c>
      <c r="H10" s="1">
        <f t="shared" si="0"/>
        <v>62347.94</v>
      </c>
      <c r="I10" s="4" t="str">
        <f t="shared" si="3"/>
        <v>Available</v>
      </c>
      <c r="J10" s="4" t="str">
        <f t="shared" si="1"/>
        <v>premium</v>
      </c>
      <c r="K10" s="8">
        <f t="shared" si="2"/>
        <v>614.69799999999998</v>
      </c>
    </row>
    <row r="11" spans="1:11" x14ac:dyDescent="0.25">
      <c r="A11" s="4" t="s">
        <v>35</v>
      </c>
      <c r="B11" s="4" t="s">
        <v>36</v>
      </c>
      <c r="C11" s="4" t="s">
        <v>37</v>
      </c>
      <c r="D11" s="4" t="s">
        <v>38</v>
      </c>
      <c r="E11" s="4" t="s">
        <v>292</v>
      </c>
      <c r="F11" s="8">
        <v>495.72</v>
      </c>
      <c r="G11" s="8">
        <v>323</v>
      </c>
      <c r="H11" s="1">
        <f t="shared" si="0"/>
        <v>160117.56</v>
      </c>
      <c r="I11" s="4" t="str">
        <f t="shared" si="3"/>
        <v>Available</v>
      </c>
      <c r="J11" s="4" t="str">
        <f t="shared" si="1"/>
        <v>premium</v>
      </c>
      <c r="K11" s="8">
        <f t="shared" si="2"/>
        <v>694.00800000000004</v>
      </c>
    </row>
    <row r="12" spans="1:11" x14ac:dyDescent="0.25">
      <c r="A12" s="4" t="s">
        <v>39</v>
      </c>
      <c r="B12" s="4" t="s">
        <v>40</v>
      </c>
      <c r="C12" s="4" t="s">
        <v>29</v>
      </c>
      <c r="D12" s="4" t="s">
        <v>41</v>
      </c>
      <c r="E12" s="4" t="s">
        <v>42</v>
      </c>
      <c r="F12" s="8">
        <v>298.86</v>
      </c>
      <c r="G12" s="8">
        <v>308</v>
      </c>
      <c r="H12" s="1">
        <f t="shared" si="0"/>
        <v>92048.88</v>
      </c>
      <c r="I12" s="4" t="str">
        <f t="shared" si="3"/>
        <v>Available</v>
      </c>
      <c r="J12" s="4" t="str">
        <f t="shared" si="1"/>
        <v>Mid range</v>
      </c>
      <c r="K12" s="8">
        <f t="shared" si="2"/>
        <v>418.404</v>
      </c>
    </row>
    <row r="13" spans="1:11" x14ac:dyDescent="0.25">
      <c r="A13" s="4" t="s">
        <v>43</v>
      </c>
      <c r="B13" s="4" t="s">
        <v>263</v>
      </c>
      <c r="C13" s="4" t="s">
        <v>8</v>
      </c>
      <c r="D13" s="4" t="s">
        <v>23</v>
      </c>
      <c r="E13" s="4" t="s">
        <v>293</v>
      </c>
      <c r="F13" s="8">
        <v>449.4</v>
      </c>
      <c r="G13" s="8">
        <v>273.49484536082474</v>
      </c>
      <c r="H13" s="1">
        <f t="shared" si="0"/>
        <v>122908.58350515463</v>
      </c>
      <c r="I13" s="4" t="str">
        <f t="shared" si="3"/>
        <v>Available</v>
      </c>
      <c r="J13" s="4" t="str">
        <f t="shared" si="1"/>
        <v>premium</v>
      </c>
      <c r="K13" s="8">
        <f t="shared" si="2"/>
        <v>629.16</v>
      </c>
    </row>
    <row r="14" spans="1:11" x14ac:dyDescent="0.25">
      <c r="A14" s="4" t="s">
        <v>44</v>
      </c>
      <c r="B14" s="4" t="s">
        <v>45</v>
      </c>
      <c r="C14" s="4" t="s">
        <v>26</v>
      </c>
      <c r="D14" s="4" t="s">
        <v>46</v>
      </c>
      <c r="E14" s="4" t="s">
        <v>294</v>
      </c>
      <c r="F14" s="8">
        <v>115.82</v>
      </c>
      <c r="G14" s="8">
        <v>460</v>
      </c>
      <c r="H14" s="1">
        <f t="shared" si="0"/>
        <v>53277.2</v>
      </c>
      <c r="I14" s="4" t="str">
        <f t="shared" si="3"/>
        <v>Available</v>
      </c>
      <c r="J14" s="4" t="str">
        <f t="shared" si="1"/>
        <v>Low Budget</v>
      </c>
      <c r="K14" s="8">
        <f t="shared" si="2"/>
        <v>162.14799999999997</v>
      </c>
    </row>
    <row r="15" spans="1:11" x14ac:dyDescent="0.25">
      <c r="A15" s="4" t="s">
        <v>47</v>
      </c>
      <c r="B15" s="4" t="s">
        <v>264</v>
      </c>
      <c r="C15" s="4" t="s">
        <v>8</v>
      </c>
      <c r="D15" s="4" t="s">
        <v>23</v>
      </c>
      <c r="E15" s="4" t="s">
        <v>48</v>
      </c>
      <c r="F15" s="8">
        <v>242.23</v>
      </c>
      <c r="G15" s="8">
        <v>453</v>
      </c>
      <c r="H15" s="1">
        <f t="shared" si="0"/>
        <v>109730.19</v>
      </c>
      <c r="I15" s="4" t="str">
        <f t="shared" si="3"/>
        <v>Available</v>
      </c>
      <c r="J15" s="4" t="str">
        <f t="shared" si="1"/>
        <v>Mid range</v>
      </c>
      <c r="K15" s="8">
        <f t="shared" si="2"/>
        <v>339.12199999999996</v>
      </c>
    </row>
    <row r="16" spans="1:11" x14ac:dyDescent="0.25">
      <c r="A16" s="4" t="s">
        <v>49</v>
      </c>
      <c r="B16" s="4" t="s">
        <v>50</v>
      </c>
      <c r="C16" s="4" t="s">
        <v>29</v>
      </c>
      <c r="D16" s="4" t="s">
        <v>51</v>
      </c>
      <c r="E16" s="4" t="s">
        <v>295</v>
      </c>
      <c r="F16" s="8">
        <v>48.01</v>
      </c>
      <c r="G16" s="8">
        <v>439</v>
      </c>
      <c r="H16" s="1">
        <f t="shared" si="0"/>
        <v>21076.39</v>
      </c>
      <c r="I16" s="4" t="str">
        <f t="shared" si="3"/>
        <v>Available</v>
      </c>
      <c r="J16" s="4" t="str">
        <f t="shared" si="1"/>
        <v>Low Budget</v>
      </c>
      <c r="K16" s="8">
        <f t="shared" si="2"/>
        <v>67.213999999999999</v>
      </c>
    </row>
    <row r="17" spans="1:11" x14ac:dyDescent="0.25">
      <c r="A17" s="4" t="s">
        <v>52</v>
      </c>
      <c r="B17" s="4" t="s">
        <v>53</v>
      </c>
      <c r="C17" s="4" t="s">
        <v>8</v>
      </c>
      <c r="D17" s="4" t="s">
        <v>54</v>
      </c>
      <c r="E17" s="4" t="s">
        <v>296</v>
      </c>
      <c r="F17" s="8">
        <v>465.34</v>
      </c>
      <c r="G17" s="8">
        <v>301</v>
      </c>
      <c r="H17" s="1">
        <f t="shared" si="0"/>
        <v>140067.34</v>
      </c>
      <c r="I17" s="4" t="str">
        <f t="shared" si="3"/>
        <v>Available</v>
      </c>
      <c r="J17" s="4" t="str">
        <f t="shared" si="1"/>
        <v>premium</v>
      </c>
      <c r="K17" s="8">
        <f t="shared" si="2"/>
        <v>651.47599999999989</v>
      </c>
    </row>
    <row r="18" spans="1:11" x14ac:dyDescent="0.25">
      <c r="A18" s="4" t="s">
        <v>338</v>
      </c>
      <c r="B18" s="4" t="s">
        <v>55</v>
      </c>
      <c r="C18" s="4" t="s">
        <v>26</v>
      </c>
      <c r="D18" s="4" t="s">
        <v>56</v>
      </c>
      <c r="E18" s="4" t="s">
        <v>57</v>
      </c>
      <c r="F18" s="8">
        <v>337.42</v>
      </c>
      <c r="G18" s="8">
        <v>256</v>
      </c>
      <c r="H18" s="1">
        <f t="shared" si="0"/>
        <v>86379.520000000004</v>
      </c>
      <c r="I18" s="4" t="str">
        <f t="shared" si="3"/>
        <v>Available</v>
      </c>
      <c r="J18" s="4" t="str">
        <f t="shared" si="1"/>
        <v>premium</v>
      </c>
      <c r="K18" s="8">
        <f t="shared" si="2"/>
        <v>472.38799999999998</v>
      </c>
    </row>
    <row r="19" spans="1:11" x14ac:dyDescent="0.25">
      <c r="A19" s="4" t="s">
        <v>58</v>
      </c>
      <c r="B19" s="4" t="s">
        <v>59</v>
      </c>
      <c r="C19" s="4" t="s">
        <v>37</v>
      </c>
      <c r="D19" s="4" t="s">
        <v>23</v>
      </c>
      <c r="E19" s="4" t="s">
        <v>297</v>
      </c>
      <c r="F19" s="8">
        <v>144.53</v>
      </c>
      <c r="G19" s="8">
        <v>367</v>
      </c>
      <c r="H19" s="1">
        <f t="shared" si="0"/>
        <v>53042.51</v>
      </c>
      <c r="I19" s="4" t="str">
        <f t="shared" si="3"/>
        <v>Available</v>
      </c>
      <c r="J19" s="4" t="str">
        <f t="shared" si="1"/>
        <v>Low Budget</v>
      </c>
      <c r="K19" s="8">
        <f t="shared" si="2"/>
        <v>202.34199999999998</v>
      </c>
    </row>
    <row r="20" spans="1:11" x14ac:dyDescent="0.25">
      <c r="A20" s="4" t="s">
        <v>60</v>
      </c>
      <c r="B20" s="4" t="s">
        <v>265</v>
      </c>
      <c r="C20" s="4" t="s">
        <v>12</v>
      </c>
      <c r="D20" s="4" t="s">
        <v>20</v>
      </c>
      <c r="E20" s="4" t="s">
        <v>61</v>
      </c>
      <c r="F20" s="8">
        <v>254.04361702127662</v>
      </c>
      <c r="G20" s="8">
        <v>343</v>
      </c>
      <c r="H20" s="1">
        <f t="shared" si="0"/>
        <v>87136.960638297882</v>
      </c>
      <c r="I20" s="4" t="str">
        <f t="shared" si="3"/>
        <v>Available</v>
      </c>
      <c r="J20" s="4" t="str">
        <f t="shared" si="1"/>
        <v>Mid range</v>
      </c>
      <c r="K20" s="8">
        <f t="shared" si="2"/>
        <v>355.66106382978722</v>
      </c>
    </row>
    <row r="21" spans="1:11" x14ac:dyDescent="0.25">
      <c r="A21" s="4" t="s">
        <v>62</v>
      </c>
      <c r="B21" s="4" t="s">
        <v>63</v>
      </c>
      <c r="C21" s="4" t="s">
        <v>37</v>
      </c>
      <c r="D21" s="4" t="s">
        <v>64</v>
      </c>
      <c r="E21" s="4" t="s">
        <v>65</v>
      </c>
      <c r="F21" s="8">
        <v>21.34</v>
      </c>
      <c r="G21" s="8">
        <v>65</v>
      </c>
      <c r="H21" s="1">
        <f t="shared" si="0"/>
        <v>1387.1</v>
      </c>
      <c r="I21" s="4" t="str">
        <f t="shared" si="3"/>
        <v>Low Stock</v>
      </c>
      <c r="J21" s="4" t="str">
        <f t="shared" si="1"/>
        <v>Low Budget</v>
      </c>
      <c r="K21" s="8">
        <f t="shared" si="2"/>
        <v>29.875999999999998</v>
      </c>
    </row>
    <row r="22" spans="1:11" x14ac:dyDescent="0.25">
      <c r="A22" s="4" t="s">
        <v>66</v>
      </c>
      <c r="B22" s="4" t="s">
        <v>67</v>
      </c>
      <c r="C22" s="4" t="s">
        <v>37</v>
      </c>
      <c r="D22" s="4" t="s">
        <v>23</v>
      </c>
      <c r="E22" s="4" t="s">
        <v>68</v>
      </c>
      <c r="F22" s="8">
        <v>131.51</v>
      </c>
      <c r="G22" s="8">
        <v>273.49484536082474</v>
      </c>
      <c r="H22" s="1">
        <f t="shared" si="0"/>
        <v>35967.307113402057</v>
      </c>
      <c r="I22" s="4" t="str">
        <f t="shared" si="3"/>
        <v>Available</v>
      </c>
      <c r="J22" s="4" t="str">
        <f t="shared" si="1"/>
        <v>Low Budget</v>
      </c>
      <c r="K22" s="8">
        <f t="shared" si="2"/>
        <v>184.11399999999998</v>
      </c>
    </row>
    <row r="23" spans="1:11" x14ac:dyDescent="0.25">
      <c r="A23" s="4" t="s">
        <v>69</v>
      </c>
      <c r="B23" s="4" t="s">
        <v>70</v>
      </c>
      <c r="C23" s="4" t="s">
        <v>29</v>
      </c>
      <c r="D23" s="4" t="s">
        <v>71</v>
      </c>
      <c r="E23" s="4" t="s">
        <v>72</v>
      </c>
      <c r="F23" s="8">
        <v>123.46</v>
      </c>
      <c r="G23" s="8">
        <v>76</v>
      </c>
      <c r="H23" s="1">
        <f t="shared" si="0"/>
        <v>9382.9599999999991</v>
      </c>
      <c r="I23" s="4" t="str">
        <f t="shared" si="3"/>
        <v>Low Stock</v>
      </c>
      <c r="J23" s="4" t="str">
        <f t="shared" si="1"/>
        <v>Low Budget</v>
      </c>
      <c r="K23" s="8">
        <f t="shared" si="2"/>
        <v>172.84399999999999</v>
      </c>
    </row>
    <row r="24" spans="1:11" x14ac:dyDescent="0.25">
      <c r="A24" s="4" t="s">
        <v>73</v>
      </c>
      <c r="B24" s="4" t="s">
        <v>74</v>
      </c>
      <c r="C24" s="4" t="s">
        <v>37</v>
      </c>
      <c r="D24" s="4" t="s">
        <v>64</v>
      </c>
      <c r="E24" s="4" t="s">
        <v>298</v>
      </c>
      <c r="F24" s="8">
        <v>484.62</v>
      </c>
      <c r="G24" s="8">
        <v>432</v>
      </c>
      <c r="H24" s="1">
        <f t="shared" si="0"/>
        <v>209355.84</v>
      </c>
      <c r="I24" s="4" t="str">
        <f t="shared" si="3"/>
        <v>Available</v>
      </c>
      <c r="J24" s="4" t="str">
        <f t="shared" si="1"/>
        <v>premium</v>
      </c>
      <c r="K24" s="8">
        <f t="shared" si="2"/>
        <v>678.46799999999996</v>
      </c>
    </row>
    <row r="25" spans="1:11" x14ac:dyDescent="0.25">
      <c r="A25" s="4" t="s">
        <v>75</v>
      </c>
      <c r="B25" s="4" t="s">
        <v>266</v>
      </c>
      <c r="C25" s="4" t="s">
        <v>12</v>
      </c>
      <c r="D25" s="4" t="s">
        <v>13</v>
      </c>
      <c r="E25" s="4" t="s">
        <v>299</v>
      </c>
      <c r="F25" s="8">
        <v>254.04361702127662</v>
      </c>
      <c r="G25" s="8">
        <v>360</v>
      </c>
      <c r="H25" s="1">
        <f t="shared" si="0"/>
        <v>91455.702127659577</v>
      </c>
      <c r="I25" s="4" t="str">
        <f t="shared" si="3"/>
        <v>Available</v>
      </c>
      <c r="J25" s="4" t="str">
        <f t="shared" si="1"/>
        <v>Mid range</v>
      </c>
      <c r="K25" s="8">
        <f t="shared" si="2"/>
        <v>355.66106382978722</v>
      </c>
    </row>
    <row r="26" spans="1:11" x14ac:dyDescent="0.25">
      <c r="A26" s="4" t="s">
        <v>76</v>
      </c>
      <c r="B26" s="4" t="s">
        <v>77</v>
      </c>
      <c r="C26" s="4" t="s">
        <v>37</v>
      </c>
      <c r="D26" s="4" t="s">
        <v>78</v>
      </c>
      <c r="E26" s="4" t="s">
        <v>79</v>
      </c>
      <c r="F26" s="8">
        <v>166.06</v>
      </c>
      <c r="G26" s="8">
        <v>340</v>
      </c>
      <c r="H26" s="1">
        <f t="shared" si="0"/>
        <v>56460.4</v>
      </c>
      <c r="I26" s="4" t="str">
        <f t="shared" si="3"/>
        <v>Available</v>
      </c>
      <c r="J26" s="4" t="str">
        <f t="shared" si="1"/>
        <v>Low Budget</v>
      </c>
      <c r="K26" s="8">
        <f t="shared" si="2"/>
        <v>232.48399999999998</v>
      </c>
    </row>
    <row r="27" spans="1:11" x14ac:dyDescent="0.25">
      <c r="A27" s="4" t="s">
        <v>80</v>
      </c>
      <c r="B27" s="4" t="s">
        <v>267</v>
      </c>
      <c r="C27" s="4" t="s">
        <v>12</v>
      </c>
      <c r="D27" s="4" t="s">
        <v>23</v>
      </c>
      <c r="E27" s="4" t="s">
        <v>300</v>
      </c>
      <c r="F27" s="8">
        <v>174.02</v>
      </c>
      <c r="G27" s="8">
        <v>268</v>
      </c>
      <c r="H27" s="1">
        <f t="shared" si="0"/>
        <v>46637.36</v>
      </c>
      <c r="I27" s="4" t="str">
        <f t="shared" si="3"/>
        <v>Available</v>
      </c>
      <c r="J27" s="4" t="str">
        <f t="shared" si="1"/>
        <v>Low Budget</v>
      </c>
      <c r="K27" s="8">
        <f t="shared" si="2"/>
        <v>243.62799999999999</v>
      </c>
    </row>
    <row r="28" spans="1:11" x14ac:dyDescent="0.25">
      <c r="A28" s="4" t="s">
        <v>81</v>
      </c>
      <c r="B28" s="4" t="s">
        <v>82</v>
      </c>
      <c r="C28" s="4" t="s">
        <v>8</v>
      </c>
      <c r="D28" s="4" t="s">
        <v>33</v>
      </c>
      <c r="E28" s="4" t="s">
        <v>83</v>
      </c>
      <c r="F28" s="8">
        <v>322.41000000000003</v>
      </c>
      <c r="G28" s="8">
        <v>213</v>
      </c>
      <c r="H28" s="1">
        <f t="shared" si="0"/>
        <v>68673.33</v>
      </c>
      <c r="I28" s="4" t="str">
        <f t="shared" si="3"/>
        <v>Available</v>
      </c>
      <c r="J28" s="4" t="str">
        <f t="shared" si="1"/>
        <v>premium</v>
      </c>
      <c r="K28" s="8">
        <f t="shared" si="2"/>
        <v>451.37400000000002</v>
      </c>
    </row>
    <row r="29" spans="1:11" x14ac:dyDescent="0.25">
      <c r="A29" s="4" t="s">
        <v>84</v>
      </c>
      <c r="B29" s="4" t="s">
        <v>85</v>
      </c>
      <c r="C29" s="4" t="s">
        <v>29</v>
      </c>
      <c r="D29" s="4" t="s">
        <v>51</v>
      </c>
      <c r="E29" s="4" t="s">
        <v>301</v>
      </c>
      <c r="F29" s="8">
        <v>254.04361702127662</v>
      </c>
      <c r="G29" s="8">
        <v>378</v>
      </c>
      <c r="H29" s="1">
        <f t="shared" si="0"/>
        <v>96028.487234042565</v>
      </c>
      <c r="I29" s="4" t="str">
        <f t="shared" si="3"/>
        <v>Available</v>
      </c>
      <c r="J29" s="4" t="str">
        <f t="shared" si="1"/>
        <v>Mid range</v>
      </c>
      <c r="K29" s="8">
        <f t="shared" si="2"/>
        <v>355.66106382978722</v>
      </c>
    </row>
    <row r="30" spans="1:11" x14ac:dyDescent="0.25">
      <c r="A30" s="4" t="s">
        <v>86</v>
      </c>
      <c r="B30" s="4" t="s">
        <v>87</v>
      </c>
      <c r="C30" s="4" t="s">
        <v>37</v>
      </c>
      <c r="D30" s="4" t="s">
        <v>23</v>
      </c>
      <c r="E30" s="4" t="s">
        <v>88</v>
      </c>
      <c r="F30" s="8">
        <v>38.76</v>
      </c>
      <c r="G30" s="8">
        <v>137</v>
      </c>
      <c r="H30" s="1">
        <f t="shared" si="0"/>
        <v>5310.12</v>
      </c>
      <c r="I30" s="4" t="str">
        <f t="shared" si="3"/>
        <v>Available</v>
      </c>
      <c r="J30" s="4" t="str">
        <f t="shared" si="1"/>
        <v>Low Budget</v>
      </c>
      <c r="K30" s="8">
        <f t="shared" si="2"/>
        <v>54.263999999999996</v>
      </c>
    </row>
    <row r="31" spans="1:11" x14ac:dyDescent="0.25">
      <c r="A31" s="4" t="s">
        <v>89</v>
      </c>
      <c r="B31" s="4" t="s">
        <v>90</v>
      </c>
      <c r="C31" s="4" t="s">
        <v>29</v>
      </c>
      <c r="D31" s="4" t="s">
        <v>51</v>
      </c>
      <c r="E31" s="4" t="s">
        <v>91</v>
      </c>
      <c r="F31" s="8">
        <v>218.48</v>
      </c>
      <c r="G31" s="8">
        <v>276</v>
      </c>
      <c r="H31" s="1">
        <f t="shared" si="0"/>
        <v>60300.479999999996</v>
      </c>
      <c r="I31" s="4" t="str">
        <f t="shared" si="3"/>
        <v>Available</v>
      </c>
      <c r="J31" s="4" t="str">
        <f t="shared" si="1"/>
        <v>Mid range</v>
      </c>
      <c r="K31" s="8">
        <f t="shared" si="2"/>
        <v>305.87199999999996</v>
      </c>
    </row>
    <row r="32" spans="1:11" x14ac:dyDescent="0.25">
      <c r="A32" s="4" t="s">
        <v>92</v>
      </c>
      <c r="B32" s="4" t="s">
        <v>93</v>
      </c>
      <c r="C32" s="4" t="s">
        <v>29</v>
      </c>
      <c r="D32" s="4" t="s">
        <v>41</v>
      </c>
      <c r="E32" s="4" t="s">
        <v>302</v>
      </c>
      <c r="F32" s="8">
        <v>19.52</v>
      </c>
      <c r="G32" s="8">
        <v>57</v>
      </c>
      <c r="H32" s="1">
        <f t="shared" si="0"/>
        <v>1112.6399999999999</v>
      </c>
      <c r="I32" s="4" t="str">
        <f t="shared" si="3"/>
        <v>Low Stock</v>
      </c>
      <c r="J32" s="4" t="str">
        <f t="shared" si="1"/>
        <v>Low Budget</v>
      </c>
      <c r="K32" s="8">
        <f t="shared" si="2"/>
        <v>27.327999999999999</v>
      </c>
    </row>
    <row r="33" spans="1:11" x14ac:dyDescent="0.25">
      <c r="A33" s="4" t="s">
        <v>94</v>
      </c>
      <c r="B33" s="4" t="s">
        <v>95</v>
      </c>
      <c r="C33" s="4" t="s">
        <v>37</v>
      </c>
      <c r="D33" s="4" t="s">
        <v>96</v>
      </c>
      <c r="E33" s="4" t="s">
        <v>97</v>
      </c>
      <c r="F33" s="8">
        <v>204.39</v>
      </c>
      <c r="G33" s="8">
        <v>281</v>
      </c>
      <c r="H33" s="1">
        <f t="shared" si="0"/>
        <v>57433.59</v>
      </c>
      <c r="I33" s="4" t="str">
        <f t="shared" si="3"/>
        <v>Available</v>
      </c>
      <c r="J33" s="4" t="str">
        <f t="shared" si="1"/>
        <v>Mid range</v>
      </c>
      <c r="K33" s="8">
        <f t="shared" si="2"/>
        <v>286.14599999999996</v>
      </c>
    </row>
    <row r="34" spans="1:11" x14ac:dyDescent="0.25">
      <c r="A34" s="4" t="s">
        <v>98</v>
      </c>
      <c r="B34" s="4" t="s">
        <v>99</v>
      </c>
      <c r="C34" s="4" t="s">
        <v>26</v>
      </c>
      <c r="D34" s="4" t="s">
        <v>27</v>
      </c>
      <c r="E34" s="4" t="s">
        <v>100</v>
      </c>
      <c r="F34" s="8">
        <v>283.83</v>
      </c>
      <c r="G34" s="8">
        <v>244</v>
      </c>
      <c r="H34" s="1">
        <f t="shared" ref="H34:H65" si="4">F34*G34</f>
        <v>69254.51999999999</v>
      </c>
      <c r="I34" s="4" t="str">
        <f t="shared" si="3"/>
        <v>Available</v>
      </c>
      <c r="J34" s="4" t="str">
        <f t="shared" ref="J34:J65" si="5">IF(F34&gt;300,"premium",IF(F34&gt;200,"Mid range","Low Budget"))</f>
        <v>Mid range</v>
      </c>
      <c r="K34" s="8">
        <f t="shared" ref="K34:K65" si="6">F34*1.4</f>
        <v>397.36199999999997</v>
      </c>
    </row>
    <row r="35" spans="1:11" x14ac:dyDescent="0.25">
      <c r="A35" s="4" t="s">
        <v>101</v>
      </c>
      <c r="B35" s="4" t="s">
        <v>102</v>
      </c>
      <c r="C35" s="4" t="s">
        <v>29</v>
      </c>
      <c r="D35" s="4" t="s">
        <v>51</v>
      </c>
      <c r="E35" s="4" t="s">
        <v>103</v>
      </c>
      <c r="F35" s="8">
        <v>179.77</v>
      </c>
      <c r="G35" s="8">
        <v>305</v>
      </c>
      <c r="H35" s="1">
        <f t="shared" si="4"/>
        <v>54829.850000000006</v>
      </c>
      <c r="I35" s="4" t="str">
        <f t="shared" si="3"/>
        <v>Available</v>
      </c>
      <c r="J35" s="4" t="str">
        <f t="shared" si="5"/>
        <v>Low Budget</v>
      </c>
      <c r="K35" s="8">
        <f t="shared" si="6"/>
        <v>251.678</v>
      </c>
    </row>
    <row r="36" spans="1:11" x14ac:dyDescent="0.25">
      <c r="A36" s="4" t="s">
        <v>104</v>
      </c>
      <c r="B36" s="4" t="s">
        <v>105</v>
      </c>
      <c r="C36" s="4" t="s">
        <v>8</v>
      </c>
      <c r="D36" s="4" t="s">
        <v>9</v>
      </c>
      <c r="E36" s="4" t="s">
        <v>303</v>
      </c>
      <c r="F36" s="8">
        <v>419.28</v>
      </c>
      <c r="G36" s="8">
        <v>86</v>
      </c>
      <c r="H36" s="1">
        <f t="shared" si="4"/>
        <v>36058.079999999994</v>
      </c>
      <c r="I36" s="4" t="str">
        <f t="shared" si="3"/>
        <v>Low Stock</v>
      </c>
      <c r="J36" s="4" t="str">
        <f t="shared" si="5"/>
        <v>premium</v>
      </c>
      <c r="K36" s="8">
        <f t="shared" si="6"/>
        <v>586.99199999999996</v>
      </c>
    </row>
    <row r="37" spans="1:11" x14ac:dyDescent="0.25">
      <c r="A37" s="4" t="s">
        <v>106</v>
      </c>
      <c r="B37" s="4" t="s">
        <v>107</v>
      </c>
      <c r="C37" s="4" t="s">
        <v>29</v>
      </c>
      <c r="D37" s="4" t="s">
        <v>30</v>
      </c>
      <c r="E37" s="4" t="s">
        <v>304</v>
      </c>
      <c r="F37" s="8">
        <v>382.22</v>
      </c>
      <c r="G37" s="8">
        <v>329</v>
      </c>
      <c r="H37" s="1">
        <f t="shared" si="4"/>
        <v>125750.38</v>
      </c>
      <c r="I37" s="4" t="str">
        <f t="shared" si="3"/>
        <v>Available</v>
      </c>
      <c r="J37" s="4" t="str">
        <f t="shared" si="5"/>
        <v>premium</v>
      </c>
      <c r="K37" s="8">
        <f t="shared" si="6"/>
        <v>535.10800000000006</v>
      </c>
    </row>
    <row r="38" spans="1:11" x14ac:dyDescent="0.25">
      <c r="A38" s="4" t="s">
        <v>108</v>
      </c>
      <c r="B38" s="4" t="s">
        <v>268</v>
      </c>
      <c r="C38" s="4" t="s">
        <v>12</v>
      </c>
      <c r="D38" s="4" t="s">
        <v>13</v>
      </c>
      <c r="E38" s="4" t="s">
        <v>109</v>
      </c>
      <c r="F38" s="8">
        <v>223.43</v>
      </c>
      <c r="G38" s="8">
        <v>154</v>
      </c>
      <c r="H38" s="1">
        <f t="shared" si="4"/>
        <v>34408.22</v>
      </c>
      <c r="I38" s="4" t="str">
        <f t="shared" si="3"/>
        <v>Available</v>
      </c>
      <c r="J38" s="4" t="str">
        <f t="shared" si="5"/>
        <v>Mid range</v>
      </c>
      <c r="K38" s="8">
        <f t="shared" si="6"/>
        <v>312.80199999999996</v>
      </c>
    </row>
    <row r="39" spans="1:11" x14ac:dyDescent="0.25">
      <c r="A39" s="4" t="s">
        <v>110</v>
      </c>
      <c r="B39" s="4" t="s">
        <v>269</v>
      </c>
      <c r="C39" s="4" t="s">
        <v>12</v>
      </c>
      <c r="D39" s="4" t="s">
        <v>111</v>
      </c>
      <c r="E39" s="4" t="s">
        <v>112</v>
      </c>
      <c r="F39" s="8">
        <v>353.47</v>
      </c>
      <c r="G39" s="8">
        <v>214</v>
      </c>
      <c r="H39" s="1">
        <f t="shared" si="4"/>
        <v>75642.58</v>
      </c>
      <c r="I39" s="4" t="str">
        <f t="shared" si="3"/>
        <v>Available</v>
      </c>
      <c r="J39" s="4" t="str">
        <f t="shared" si="5"/>
        <v>premium</v>
      </c>
      <c r="K39" s="8">
        <f t="shared" si="6"/>
        <v>494.858</v>
      </c>
    </row>
    <row r="40" spans="1:11" x14ac:dyDescent="0.25">
      <c r="A40" s="4" t="s">
        <v>113</v>
      </c>
      <c r="B40" s="4" t="s">
        <v>114</v>
      </c>
      <c r="C40" s="4" t="s">
        <v>37</v>
      </c>
      <c r="D40" s="4" t="s">
        <v>78</v>
      </c>
      <c r="E40" s="4" t="s">
        <v>115</v>
      </c>
      <c r="F40" s="8">
        <v>135.61000000000001</v>
      </c>
      <c r="G40" s="8">
        <v>394</v>
      </c>
      <c r="H40" s="1">
        <f t="shared" si="4"/>
        <v>53430.340000000004</v>
      </c>
      <c r="I40" s="4" t="str">
        <f t="shared" si="3"/>
        <v>Available</v>
      </c>
      <c r="J40" s="4" t="str">
        <f t="shared" si="5"/>
        <v>Low Budget</v>
      </c>
      <c r="K40" s="8">
        <f t="shared" si="6"/>
        <v>189.85400000000001</v>
      </c>
    </row>
    <row r="41" spans="1:11" x14ac:dyDescent="0.25">
      <c r="A41" s="4" t="s">
        <v>116</v>
      </c>
      <c r="B41" s="4" t="s">
        <v>117</v>
      </c>
      <c r="C41" s="4" t="s">
        <v>8</v>
      </c>
      <c r="D41" s="4" t="s">
        <v>118</v>
      </c>
      <c r="E41" s="4" t="s">
        <v>305</v>
      </c>
      <c r="F41" s="8">
        <v>326.06</v>
      </c>
      <c r="G41" s="8">
        <v>301</v>
      </c>
      <c r="H41" s="1">
        <f t="shared" si="4"/>
        <v>98144.06</v>
      </c>
      <c r="I41" s="4" t="str">
        <f t="shared" si="3"/>
        <v>Available</v>
      </c>
      <c r="J41" s="4" t="str">
        <f t="shared" si="5"/>
        <v>premium</v>
      </c>
      <c r="K41" s="8">
        <f t="shared" si="6"/>
        <v>456.48399999999998</v>
      </c>
    </row>
    <row r="42" spans="1:11" x14ac:dyDescent="0.25">
      <c r="A42" s="4" t="s">
        <v>119</v>
      </c>
      <c r="B42" s="4" t="s">
        <v>120</v>
      </c>
      <c r="C42" s="4" t="s">
        <v>8</v>
      </c>
      <c r="D42" s="4" t="s">
        <v>33</v>
      </c>
      <c r="E42" s="4" t="s">
        <v>121</v>
      </c>
      <c r="F42" s="8">
        <v>38.520000000000003</v>
      </c>
      <c r="G42" s="8">
        <v>378</v>
      </c>
      <c r="H42" s="1">
        <f t="shared" si="4"/>
        <v>14560.560000000001</v>
      </c>
      <c r="I42" s="4" t="str">
        <f t="shared" si="3"/>
        <v>Available</v>
      </c>
      <c r="J42" s="4" t="str">
        <f t="shared" si="5"/>
        <v>Low Budget</v>
      </c>
      <c r="K42" s="8">
        <f t="shared" si="6"/>
        <v>53.928000000000004</v>
      </c>
    </row>
    <row r="43" spans="1:11" x14ac:dyDescent="0.25">
      <c r="A43" s="4" t="s">
        <v>122</v>
      </c>
      <c r="B43" s="4" t="s">
        <v>123</v>
      </c>
      <c r="C43" s="4" t="s">
        <v>37</v>
      </c>
      <c r="D43" s="4" t="s">
        <v>38</v>
      </c>
      <c r="E43" s="4" t="s">
        <v>306</v>
      </c>
      <c r="F43" s="8">
        <v>313.26</v>
      </c>
      <c r="G43" s="8">
        <v>369</v>
      </c>
      <c r="H43" s="1">
        <f t="shared" si="4"/>
        <v>115592.94</v>
      </c>
      <c r="I43" s="4" t="str">
        <f t="shared" si="3"/>
        <v>Available</v>
      </c>
      <c r="J43" s="4" t="str">
        <f t="shared" si="5"/>
        <v>premium</v>
      </c>
      <c r="K43" s="8">
        <f t="shared" si="6"/>
        <v>438.56399999999996</v>
      </c>
    </row>
    <row r="44" spans="1:11" x14ac:dyDescent="0.25">
      <c r="A44" s="4" t="s">
        <v>124</v>
      </c>
      <c r="B44" s="4" t="s">
        <v>270</v>
      </c>
      <c r="C44" s="4" t="s">
        <v>8</v>
      </c>
      <c r="D44" s="4" t="s">
        <v>23</v>
      </c>
      <c r="E44" s="4" t="s">
        <v>307</v>
      </c>
      <c r="F44" s="8">
        <v>450.71</v>
      </c>
      <c r="G44" s="8">
        <v>389</v>
      </c>
      <c r="H44" s="1">
        <f t="shared" si="4"/>
        <v>175326.19</v>
      </c>
      <c r="I44" s="4" t="str">
        <f t="shared" si="3"/>
        <v>Available</v>
      </c>
      <c r="J44" s="4" t="str">
        <f t="shared" si="5"/>
        <v>premium</v>
      </c>
      <c r="K44" s="8">
        <f t="shared" si="6"/>
        <v>630.99399999999991</v>
      </c>
    </row>
    <row r="45" spans="1:11" x14ac:dyDescent="0.25">
      <c r="A45" s="4" t="s">
        <v>125</v>
      </c>
      <c r="B45" s="4" t="s">
        <v>271</v>
      </c>
      <c r="C45" s="4" t="s">
        <v>8</v>
      </c>
      <c r="D45" s="4" t="s">
        <v>9</v>
      </c>
      <c r="E45" s="4" t="s">
        <v>126</v>
      </c>
      <c r="F45" s="8">
        <v>253.33</v>
      </c>
      <c r="G45" s="8">
        <v>266</v>
      </c>
      <c r="H45" s="1">
        <f t="shared" si="4"/>
        <v>67385.78</v>
      </c>
      <c r="I45" s="4" t="str">
        <f t="shared" si="3"/>
        <v>Available</v>
      </c>
      <c r="J45" s="4" t="str">
        <f t="shared" si="5"/>
        <v>Mid range</v>
      </c>
      <c r="K45" s="8">
        <f t="shared" si="6"/>
        <v>354.66199999999998</v>
      </c>
    </row>
    <row r="46" spans="1:11" x14ac:dyDescent="0.25">
      <c r="A46" s="4" t="s">
        <v>127</v>
      </c>
      <c r="B46" s="4" t="s">
        <v>128</v>
      </c>
      <c r="C46" s="4" t="s">
        <v>37</v>
      </c>
      <c r="D46" s="4" t="s">
        <v>38</v>
      </c>
      <c r="E46" s="4" t="s">
        <v>129</v>
      </c>
      <c r="F46" s="8">
        <v>167.12</v>
      </c>
      <c r="G46" s="8">
        <v>316</v>
      </c>
      <c r="H46" s="1">
        <f t="shared" si="4"/>
        <v>52809.919999999998</v>
      </c>
      <c r="I46" s="4" t="str">
        <f t="shared" si="3"/>
        <v>Available</v>
      </c>
      <c r="J46" s="4" t="str">
        <f t="shared" si="5"/>
        <v>Low Budget</v>
      </c>
      <c r="K46" s="8">
        <f t="shared" si="6"/>
        <v>233.96799999999999</v>
      </c>
    </row>
    <row r="47" spans="1:11" x14ac:dyDescent="0.25">
      <c r="A47" s="4" t="s">
        <v>130</v>
      </c>
      <c r="B47" s="4" t="s">
        <v>131</v>
      </c>
      <c r="C47" s="4" t="s">
        <v>37</v>
      </c>
      <c r="D47" s="4" t="s">
        <v>96</v>
      </c>
      <c r="E47" s="4" t="s">
        <v>308</v>
      </c>
      <c r="F47" s="8">
        <v>318.91000000000003</v>
      </c>
      <c r="G47" s="8">
        <v>114</v>
      </c>
      <c r="H47" s="1">
        <f t="shared" si="4"/>
        <v>36355.740000000005</v>
      </c>
      <c r="I47" s="4" t="str">
        <f t="shared" si="3"/>
        <v>Available</v>
      </c>
      <c r="J47" s="4" t="str">
        <f t="shared" si="5"/>
        <v>premium</v>
      </c>
      <c r="K47" s="8">
        <f t="shared" si="6"/>
        <v>446.47399999999999</v>
      </c>
    </row>
    <row r="48" spans="1:11" x14ac:dyDescent="0.25">
      <c r="A48" s="4" t="s">
        <v>132</v>
      </c>
      <c r="B48" s="4" t="s">
        <v>272</v>
      </c>
      <c r="C48" s="4" t="s">
        <v>12</v>
      </c>
      <c r="D48" s="4" t="s">
        <v>16</v>
      </c>
      <c r="E48" s="4" t="s">
        <v>309</v>
      </c>
      <c r="F48" s="8">
        <v>167.34</v>
      </c>
      <c r="G48" s="8">
        <v>296</v>
      </c>
      <c r="H48" s="1">
        <f t="shared" si="4"/>
        <v>49532.639999999999</v>
      </c>
      <c r="I48" s="4" t="str">
        <f t="shared" si="3"/>
        <v>Available</v>
      </c>
      <c r="J48" s="4" t="str">
        <f t="shared" si="5"/>
        <v>Low Budget</v>
      </c>
      <c r="K48" s="8">
        <f t="shared" si="6"/>
        <v>234.27599999999998</v>
      </c>
    </row>
    <row r="49" spans="1:11" x14ac:dyDescent="0.25">
      <c r="A49" s="4" t="s">
        <v>133</v>
      </c>
      <c r="B49" s="4" t="s">
        <v>134</v>
      </c>
      <c r="C49" s="4" t="s">
        <v>26</v>
      </c>
      <c r="D49" s="4" t="s">
        <v>135</v>
      </c>
      <c r="E49" s="4" t="s">
        <v>136</v>
      </c>
      <c r="F49" s="8">
        <v>254.04361702127662</v>
      </c>
      <c r="G49" s="8">
        <v>431</v>
      </c>
      <c r="H49" s="1">
        <f t="shared" si="4"/>
        <v>109492.79893617022</v>
      </c>
      <c r="I49" s="4" t="str">
        <f t="shared" si="3"/>
        <v>Available</v>
      </c>
      <c r="J49" s="4" t="str">
        <f t="shared" si="5"/>
        <v>Mid range</v>
      </c>
      <c r="K49" s="8">
        <f t="shared" si="6"/>
        <v>355.66106382978722</v>
      </c>
    </row>
    <row r="50" spans="1:11" x14ac:dyDescent="0.25">
      <c r="A50" s="4" t="s">
        <v>137</v>
      </c>
      <c r="B50" s="4" t="s">
        <v>138</v>
      </c>
      <c r="C50" s="4" t="s">
        <v>8</v>
      </c>
      <c r="D50" s="4" t="s">
        <v>23</v>
      </c>
      <c r="E50" s="4" t="s">
        <v>310</v>
      </c>
      <c r="F50" s="8">
        <v>177.98</v>
      </c>
      <c r="G50" s="8">
        <v>103</v>
      </c>
      <c r="H50" s="1">
        <f t="shared" si="4"/>
        <v>18331.939999999999</v>
      </c>
      <c r="I50" s="4" t="str">
        <f t="shared" si="3"/>
        <v>Available</v>
      </c>
      <c r="J50" s="4" t="str">
        <f t="shared" si="5"/>
        <v>Low Budget</v>
      </c>
      <c r="K50" s="8">
        <f t="shared" si="6"/>
        <v>249.17199999999997</v>
      </c>
    </row>
    <row r="51" spans="1:11" x14ac:dyDescent="0.25">
      <c r="A51" s="4" t="s">
        <v>139</v>
      </c>
      <c r="B51" s="4" t="s">
        <v>273</v>
      </c>
      <c r="C51" s="4" t="s">
        <v>26</v>
      </c>
      <c r="D51" s="4" t="s">
        <v>140</v>
      </c>
      <c r="E51" s="4" t="s">
        <v>311</v>
      </c>
      <c r="F51" s="8">
        <v>43.29</v>
      </c>
      <c r="G51" s="8">
        <v>267</v>
      </c>
      <c r="H51" s="1">
        <f t="shared" si="4"/>
        <v>11558.43</v>
      </c>
      <c r="I51" s="4" t="str">
        <f t="shared" si="3"/>
        <v>Available</v>
      </c>
      <c r="J51" s="4" t="str">
        <f t="shared" si="5"/>
        <v>Low Budget</v>
      </c>
      <c r="K51" s="8">
        <f t="shared" si="6"/>
        <v>60.605999999999995</v>
      </c>
    </row>
    <row r="52" spans="1:11" x14ac:dyDescent="0.25">
      <c r="A52" s="4" t="s">
        <v>141</v>
      </c>
      <c r="B52" s="4" t="s">
        <v>142</v>
      </c>
      <c r="C52" s="4" t="s">
        <v>37</v>
      </c>
      <c r="D52" s="4" t="s">
        <v>38</v>
      </c>
      <c r="E52" s="4" t="s">
        <v>143</v>
      </c>
      <c r="F52" s="8">
        <v>190.29</v>
      </c>
      <c r="G52" s="8">
        <v>260</v>
      </c>
      <c r="H52" s="1">
        <f t="shared" si="4"/>
        <v>49475.4</v>
      </c>
      <c r="I52" s="4" t="str">
        <f t="shared" si="3"/>
        <v>Available</v>
      </c>
      <c r="J52" s="4" t="str">
        <f t="shared" si="5"/>
        <v>Low Budget</v>
      </c>
      <c r="K52" s="8">
        <f t="shared" si="6"/>
        <v>266.40599999999995</v>
      </c>
    </row>
    <row r="53" spans="1:11" x14ac:dyDescent="0.25">
      <c r="A53" s="4" t="s">
        <v>144</v>
      </c>
      <c r="B53" s="4" t="s">
        <v>274</v>
      </c>
      <c r="C53" s="4" t="s">
        <v>8</v>
      </c>
      <c r="D53" s="4" t="s">
        <v>23</v>
      </c>
      <c r="E53" s="4" t="s">
        <v>312</v>
      </c>
      <c r="F53" s="8">
        <v>88.49</v>
      </c>
      <c r="G53" s="8">
        <v>246</v>
      </c>
      <c r="H53" s="1">
        <f t="shared" si="4"/>
        <v>21768.539999999997</v>
      </c>
      <c r="I53" s="4" t="str">
        <f t="shared" si="3"/>
        <v>Available</v>
      </c>
      <c r="J53" s="4" t="str">
        <f t="shared" si="5"/>
        <v>Low Budget</v>
      </c>
      <c r="K53" s="8">
        <f t="shared" si="6"/>
        <v>123.88599999999998</v>
      </c>
    </row>
    <row r="54" spans="1:11" x14ac:dyDescent="0.25">
      <c r="A54" s="4" t="s">
        <v>145</v>
      </c>
      <c r="B54" s="4" t="s">
        <v>146</v>
      </c>
      <c r="C54" s="4" t="s">
        <v>37</v>
      </c>
      <c r="D54" s="4" t="s">
        <v>96</v>
      </c>
      <c r="E54" s="4" t="s">
        <v>147</v>
      </c>
      <c r="F54" s="8">
        <v>212.26</v>
      </c>
      <c r="G54" s="8">
        <v>82</v>
      </c>
      <c r="H54" s="1">
        <f t="shared" si="4"/>
        <v>17405.32</v>
      </c>
      <c r="I54" s="4" t="str">
        <f t="shared" si="3"/>
        <v>Low Stock</v>
      </c>
      <c r="J54" s="4" t="str">
        <f t="shared" si="5"/>
        <v>Mid range</v>
      </c>
      <c r="K54" s="8">
        <f t="shared" si="6"/>
        <v>297.16399999999999</v>
      </c>
    </row>
    <row r="55" spans="1:11" x14ac:dyDescent="0.25">
      <c r="A55" s="4" t="s">
        <v>148</v>
      </c>
      <c r="B55" s="4" t="s">
        <v>275</v>
      </c>
      <c r="C55" s="4" t="s">
        <v>12</v>
      </c>
      <c r="D55" s="4" t="s">
        <v>20</v>
      </c>
      <c r="E55" s="4" t="s">
        <v>313</v>
      </c>
      <c r="F55" s="8">
        <v>386.56</v>
      </c>
      <c r="G55" s="8">
        <v>125</v>
      </c>
      <c r="H55" s="1">
        <f t="shared" si="4"/>
        <v>48320</v>
      </c>
      <c r="I55" s="4" t="str">
        <f t="shared" si="3"/>
        <v>Available</v>
      </c>
      <c r="J55" s="4" t="str">
        <f t="shared" si="5"/>
        <v>premium</v>
      </c>
      <c r="K55" s="8">
        <f t="shared" si="6"/>
        <v>541.18399999999997</v>
      </c>
    </row>
    <row r="56" spans="1:11" x14ac:dyDescent="0.25">
      <c r="A56" s="4" t="s">
        <v>149</v>
      </c>
      <c r="B56" s="4" t="s">
        <v>150</v>
      </c>
      <c r="C56" s="4" t="s">
        <v>37</v>
      </c>
      <c r="D56" s="4" t="s">
        <v>23</v>
      </c>
      <c r="E56" s="4" t="s">
        <v>151</v>
      </c>
      <c r="F56" s="8">
        <v>434.84</v>
      </c>
      <c r="G56" s="8">
        <v>185</v>
      </c>
      <c r="H56" s="1">
        <f t="shared" si="4"/>
        <v>80445.399999999994</v>
      </c>
      <c r="I56" s="4" t="str">
        <f t="shared" si="3"/>
        <v>Available</v>
      </c>
      <c r="J56" s="4" t="str">
        <f t="shared" si="5"/>
        <v>premium</v>
      </c>
      <c r="K56" s="8">
        <f t="shared" si="6"/>
        <v>608.77599999999995</v>
      </c>
    </row>
    <row r="57" spans="1:11" x14ac:dyDescent="0.25">
      <c r="A57" s="4" t="s">
        <v>152</v>
      </c>
      <c r="B57" s="4" t="s">
        <v>153</v>
      </c>
      <c r="C57" s="4" t="s">
        <v>29</v>
      </c>
      <c r="D57" s="4" t="s">
        <v>51</v>
      </c>
      <c r="E57" s="4" t="s">
        <v>314</v>
      </c>
      <c r="F57" s="8">
        <v>81.75</v>
      </c>
      <c r="G57" s="8">
        <v>273.49484536082474</v>
      </c>
      <c r="H57" s="1">
        <f t="shared" si="4"/>
        <v>22358.203608247422</v>
      </c>
      <c r="I57" s="4" t="str">
        <f t="shared" si="3"/>
        <v>Available</v>
      </c>
      <c r="J57" s="4" t="str">
        <f t="shared" si="5"/>
        <v>Low Budget</v>
      </c>
      <c r="K57" s="8">
        <f t="shared" si="6"/>
        <v>114.44999999999999</v>
      </c>
    </row>
    <row r="58" spans="1:11" x14ac:dyDescent="0.25">
      <c r="A58" s="4" t="s">
        <v>154</v>
      </c>
      <c r="B58" s="4" t="s">
        <v>155</v>
      </c>
      <c r="C58" s="4" t="s">
        <v>29</v>
      </c>
      <c r="D58" s="4" t="s">
        <v>51</v>
      </c>
      <c r="E58" s="4" t="s">
        <v>315</v>
      </c>
      <c r="F58" s="8">
        <v>461.47</v>
      </c>
      <c r="G58" s="8">
        <v>190</v>
      </c>
      <c r="H58" s="1">
        <f t="shared" si="4"/>
        <v>87679.3</v>
      </c>
      <c r="I58" s="4" t="str">
        <f t="shared" si="3"/>
        <v>Available</v>
      </c>
      <c r="J58" s="4" t="str">
        <f t="shared" si="5"/>
        <v>premium</v>
      </c>
      <c r="K58" s="8">
        <f t="shared" si="6"/>
        <v>646.05799999999999</v>
      </c>
    </row>
    <row r="59" spans="1:11" x14ac:dyDescent="0.25">
      <c r="A59" s="4" t="s">
        <v>156</v>
      </c>
      <c r="B59" s="4" t="s">
        <v>157</v>
      </c>
      <c r="C59" s="4" t="s">
        <v>37</v>
      </c>
      <c r="D59" s="4" t="s">
        <v>38</v>
      </c>
      <c r="E59" s="4" t="s">
        <v>316</v>
      </c>
      <c r="F59" s="8">
        <v>30.62</v>
      </c>
      <c r="G59" s="8">
        <v>138</v>
      </c>
      <c r="H59" s="1">
        <f t="shared" si="4"/>
        <v>4225.5600000000004</v>
      </c>
      <c r="I59" s="4" t="str">
        <f t="shared" si="3"/>
        <v>Available</v>
      </c>
      <c r="J59" s="4" t="str">
        <f t="shared" si="5"/>
        <v>Low Budget</v>
      </c>
      <c r="K59" s="8">
        <f t="shared" si="6"/>
        <v>42.868000000000002</v>
      </c>
    </row>
    <row r="60" spans="1:11" x14ac:dyDescent="0.25">
      <c r="A60" s="4" t="s">
        <v>158</v>
      </c>
      <c r="B60" s="4" t="s">
        <v>159</v>
      </c>
      <c r="C60" s="4" t="s">
        <v>12</v>
      </c>
      <c r="D60" s="4" t="s">
        <v>23</v>
      </c>
      <c r="E60" s="4" t="s">
        <v>160</v>
      </c>
      <c r="F60" s="8">
        <v>113.83</v>
      </c>
      <c r="G60" s="8">
        <v>485</v>
      </c>
      <c r="H60" s="1">
        <f t="shared" si="4"/>
        <v>55207.549999999996</v>
      </c>
      <c r="I60" s="4" t="str">
        <f t="shared" si="3"/>
        <v>Available</v>
      </c>
      <c r="J60" s="4" t="str">
        <f t="shared" si="5"/>
        <v>Low Budget</v>
      </c>
      <c r="K60" s="8">
        <f t="shared" si="6"/>
        <v>159.36199999999999</v>
      </c>
    </row>
    <row r="61" spans="1:11" x14ac:dyDescent="0.25">
      <c r="A61" s="4" t="s">
        <v>161</v>
      </c>
      <c r="B61" s="4" t="s">
        <v>276</v>
      </c>
      <c r="C61" s="4" t="s">
        <v>26</v>
      </c>
      <c r="D61" s="4" t="s">
        <v>46</v>
      </c>
      <c r="E61" s="4" t="s">
        <v>162</v>
      </c>
      <c r="F61" s="8">
        <v>17.309999999999999</v>
      </c>
      <c r="G61" s="8">
        <v>399</v>
      </c>
      <c r="H61" s="1">
        <f t="shared" si="4"/>
        <v>6906.69</v>
      </c>
      <c r="I61" s="4" t="str">
        <f t="shared" si="3"/>
        <v>Available</v>
      </c>
      <c r="J61" s="4" t="str">
        <f t="shared" si="5"/>
        <v>Low Budget</v>
      </c>
      <c r="K61" s="8">
        <f t="shared" si="6"/>
        <v>24.233999999999998</v>
      </c>
    </row>
    <row r="62" spans="1:11" x14ac:dyDescent="0.25">
      <c r="A62" s="4" t="s">
        <v>163</v>
      </c>
      <c r="B62" s="4" t="s">
        <v>164</v>
      </c>
      <c r="C62" s="4" t="s">
        <v>26</v>
      </c>
      <c r="D62" s="4" t="s">
        <v>140</v>
      </c>
      <c r="E62" s="4" t="s">
        <v>317</v>
      </c>
      <c r="F62" s="8">
        <v>482.75</v>
      </c>
      <c r="G62" s="8">
        <v>444</v>
      </c>
      <c r="H62" s="1">
        <f t="shared" si="4"/>
        <v>214341</v>
      </c>
      <c r="I62" s="4" t="str">
        <f t="shared" si="3"/>
        <v>Available</v>
      </c>
      <c r="J62" s="4" t="str">
        <f t="shared" si="5"/>
        <v>premium</v>
      </c>
      <c r="K62" s="8">
        <f t="shared" si="6"/>
        <v>675.84999999999991</v>
      </c>
    </row>
    <row r="63" spans="1:11" x14ac:dyDescent="0.25">
      <c r="A63" s="4" t="s">
        <v>165</v>
      </c>
      <c r="B63" s="4" t="s">
        <v>166</v>
      </c>
      <c r="C63" s="4" t="s">
        <v>37</v>
      </c>
      <c r="D63" s="4" t="s">
        <v>64</v>
      </c>
      <c r="E63" s="4" t="s">
        <v>318</v>
      </c>
      <c r="F63" s="8">
        <v>103.45</v>
      </c>
      <c r="G63" s="8">
        <v>465</v>
      </c>
      <c r="H63" s="1">
        <f t="shared" si="4"/>
        <v>48104.25</v>
      </c>
      <c r="I63" s="4" t="str">
        <f t="shared" si="3"/>
        <v>Available</v>
      </c>
      <c r="J63" s="4" t="str">
        <f t="shared" si="5"/>
        <v>Low Budget</v>
      </c>
      <c r="K63" s="8">
        <f t="shared" si="6"/>
        <v>144.82999999999998</v>
      </c>
    </row>
    <row r="64" spans="1:11" x14ac:dyDescent="0.25">
      <c r="A64" s="4" t="s">
        <v>167</v>
      </c>
      <c r="B64" s="4" t="s">
        <v>168</v>
      </c>
      <c r="C64" s="4" t="s">
        <v>8</v>
      </c>
      <c r="D64" s="4" t="s">
        <v>9</v>
      </c>
      <c r="E64" s="4" t="s">
        <v>319</v>
      </c>
      <c r="F64" s="8">
        <v>86.42</v>
      </c>
      <c r="G64" s="8">
        <v>222</v>
      </c>
      <c r="H64" s="1">
        <f t="shared" si="4"/>
        <v>19185.240000000002</v>
      </c>
      <c r="I64" s="4" t="str">
        <f t="shared" si="3"/>
        <v>Available</v>
      </c>
      <c r="J64" s="4" t="str">
        <f t="shared" si="5"/>
        <v>Low Budget</v>
      </c>
      <c r="K64" s="8">
        <f t="shared" si="6"/>
        <v>120.988</v>
      </c>
    </row>
    <row r="65" spans="1:11" x14ac:dyDescent="0.25">
      <c r="A65" s="4" t="s">
        <v>169</v>
      </c>
      <c r="B65" s="4" t="s">
        <v>170</v>
      </c>
      <c r="C65" s="4" t="s">
        <v>26</v>
      </c>
      <c r="D65" s="4" t="s">
        <v>27</v>
      </c>
      <c r="E65" s="4" t="s">
        <v>171</v>
      </c>
      <c r="F65" s="8">
        <v>266.86</v>
      </c>
      <c r="G65" s="8">
        <v>458</v>
      </c>
      <c r="H65" s="1">
        <f t="shared" si="4"/>
        <v>122221.88</v>
      </c>
      <c r="I65" s="4" t="str">
        <f t="shared" si="3"/>
        <v>Available</v>
      </c>
      <c r="J65" s="4" t="str">
        <f t="shared" si="5"/>
        <v>Mid range</v>
      </c>
      <c r="K65" s="8">
        <f t="shared" si="6"/>
        <v>373.60399999999998</v>
      </c>
    </row>
    <row r="66" spans="1:11" x14ac:dyDescent="0.25">
      <c r="A66" s="4" t="s">
        <v>172</v>
      </c>
      <c r="B66" s="4" t="s">
        <v>173</v>
      </c>
      <c r="C66" s="4" t="s">
        <v>26</v>
      </c>
      <c r="D66" s="4" t="s">
        <v>135</v>
      </c>
      <c r="E66" s="4" t="s">
        <v>174</v>
      </c>
      <c r="F66" s="8">
        <v>299.11</v>
      </c>
      <c r="G66" s="8">
        <v>118</v>
      </c>
      <c r="H66" s="1">
        <f t="shared" ref="H66:H97" si="7">F66*G66</f>
        <v>35294.980000000003</v>
      </c>
      <c r="I66" s="4" t="str">
        <f t="shared" si="3"/>
        <v>Available</v>
      </c>
      <c r="J66" s="4" t="str">
        <f t="shared" ref="J66:J101" si="8">IF(F66&gt;300,"premium",IF(F66&gt;200,"Mid range","Low Budget"))</f>
        <v>Mid range</v>
      </c>
      <c r="K66" s="8">
        <f t="shared" ref="K66:K101" si="9">F66*1.4</f>
        <v>418.75400000000002</v>
      </c>
    </row>
    <row r="67" spans="1:11" x14ac:dyDescent="0.25">
      <c r="A67" s="4" t="s">
        <v>175</v>
      </c>
      <c r="B67" s="4" t="s">
        <v>277</v>
      </c>
      <c r="C67" s="4" t="s">
        <v>37</v>
      </c>
      <c r="D67" s="4" t="s">
        <v>38</v>
      </c>
      <c r="E67" s="4" t="s">
        <v>320</v>
      </c>
      <c r="F67" s="8">
        <v>240.63</v>
      </c>
      <c r="G67" s="8">
        <v>423</v>
      </c>
      <c r="H67" s="1">
        <f t="shared" si="7"/>
        <v>101786.49</v>
      </c>
      <c r="I67" s="4" t="str">
        <f t="shared" ref="I67:I101" si="10">IF(G67&gt;100,"Available","Low Stock")</f>
        <v>Available</v>
      </c>
      <c r="J67" s="4" t="str">
        <f t="shared" si="8"/>
        <v>Mid range</v>
      </c>
      <c r="K67" s="8">
        <f t="shared" si="9"/>
        <v>336.88199999999995</v>
      </c>
    </row>
    <row r="68" spans="1:11" x14ac:dyDescent="0.25">
      <c r="A68" s="4" t="s">
        <v>176</v>
      </c>
      <c r="B68" s="4" t="s">
        <v>278</v>
      </c>
      <c r="C68" s="4" t="s">
        <v>26</v>
      </c>
      <c r="D68" s="4" t="s">
        <v>46</v>
      </c>
      <c r="E68" s="4" t="s">
        <v>321</v>
      </c>
      <c r="F68" s="8">
        <v>340.39</v>
      </c>
      <c r="G68" s="8">
        <v>177</v>
      </c>
      <c r="H68" s="1">
        <f t="shared" si="7"/>
        <v>60249.03</v>
      </c>
      <c r="I68" s="4" t="str">
        <f t="shared" si="10"/>
        <v>Available</v>
      </c>
      <c r="J68" s="4" t="str">
        <f t="shared" si="8"/>
        <v>premium</v>
      </c>
      <c r="K68" s="8">
        <f t="shared" si="9"/>
        <v>476.54599999999994</v>
      </c>
    </row>
    <row r="69" spans="1:11" x14ac:dyDescent="0.25">
      <c r="A69" s="4" t="s">
        <v>177</v>
      </c>
      <c r="B69" s="4" t="s">
        <v>279</v>
      </c>
      <c r="C69" s="4" t="s">
        <v>8</v>
      </c>
      <c r="D69" s="4" t="s">
        <v>23</v>
      </c>
      <c r="E69" s="4" t="s">
        <v>178</v>
      </c>
      <c r="F69" s="8">
        <v>349.17</v>
      </c>
      <c r="G69" s="8">
        <v>476</v>
      </c>
      <c r="H69" s="1">
        <f t="shared" si="7"/>
        <v>166204.92000000001</v>
      </c>
      <c r="I69" s="4" t="str">
        <f t="shared" si="10"/>
        <v>Available</v>
      </c>
      <c r="J69" s="4" t="str">
        <f t="shared" si="8"/>
        <v>premium</v>
      </c>
      <c r="K69" s="8">
        <f t="shared" si="9"/>
        <v>488.83799999999997</v>
      </c>
    </row>
    <row r="70" spans="1:11" x14ac:dyDescent="0.25">
      <c r="A70" s="4" t="s">
        <v>179</v>
      </c>
      <c r="B70" s="4" t="s">
        <v>180</v>
      </c>
      <c r="C70" s="4" t="s">
        <v>29</v>
      </c>
      <c r="D70" s="4" t="s">
        <v>181</v>
      </c>
      <c r="E70" s="4" t="s">
        <v>322</v>
      </c>
      <c r="F70" s="8">
        <v>243.7</v>
      </c>
      <c r="G70" s="8">
        <v>130</v>
      </c>
      <c r="H70" s="1">
        <f t="shared" si="7"/>
        <v>31681</v>
      </c>
      <c r="I70" s="4" t="str">
        <f t="shared" si="10"/>
        <v>Available</v>
      </c>
      <c r="J70" s="4" t="str">
        <f t="shared" si="8"/>
        <v>Mid range</v>
      </c>
      <c r="K70" s="8">
        <f t="shared" si="9"/>
        <v>341.17999999999995</v>
      </c>
    </row>
    <row r="71" spans="1:11" x14ac:dyDescent="0.25">
      <c r="A71" s="4" t="s">
        <v>182</v>
      </c>
      <c r="B71" s="4" t="s">
        <v>280</v>
      </c>
      <c r="C71" s="4" t="s">
        <v>12</v>
      </c>
      <c r="D71" s="4" t="s">
        <v>20</v>
      </c>
      <c r="E71" s="4" t="s">
        <v>183</v>
      </c>
      <c r="F71" s="8">
        <v>218.22</v>
      </c>
      <c r="G71" s="8">
        <v>224</v>
      </c>
      <c r="H71" s="1">
        <f t="shared" si="7"/>
        <v>48881.279999999999</v>
      </c>
      <c r="I71" s="4" t="str">
        <f t="shared" si="10"/>
        <v>Available</v>
      </c>
      <c r="J71" s="4" t="str">
        <f t="shared" si="8"/>
        <v>Mid range</v>
      </c>
      <c r="K71" s="8">
        <f t="shared" si="9"/>
        <v>305.50799999999998</v>
      </c>
    </row>
    <row r="72" spans="1:11" x14ac:dyDescent="0.25">
      <c r="A72" s="4" t="s">
        <v>184</v>
      </c>
      <c r="B72" s="4" t="s">
        <v>185</v>
      </c>
      <c r="C72" s="4" t="s">
        <v>29</v>
      </c>
      <c r="D72" s="4" t="s">
        <v>71</v>
      </c>
      <c r="E72" s="4" t="s">
        <v>186</v>
      </c>
      <c r="F72" s="8">
        <v>138.05000000000001</v>
      </c>
      <c r="G72" s="8">
        <v>89</v>
      </c>
      <c r="H72" s="1">
        <f t="shared" si="7"/>
        <v>12286.45</v>
      </c>
      <c r="I72" s="4" t="str">
        <f t="shared" si="10"/>
        <v>Low Stock</v>
      </c>
      <c r="J72" s="4" t="str">
        <f t="shared" si="8"/>
        <v>Low Budget</v>
      </c>
      <c r="K72" s="8">
        <f t="shared" si="9"/>
        <v>193.27</v>
      </c>
    </row>
    <row r="73" spans="1:11" x14ac:dyDescent="0.25">
      <c r="A73" s="4" t="s">
        <v>187</v>
      </c>
      <c r="B73" s="4" t="s">
        <v>188</v>
      </c>
      <c r="C73" s="4" t="s">
        <v>26</v>
      </c>
      <c r="D73" s="4" t="s">
        <v>46</v>
      </c>
      <c r="E73" s="4" t="s">
        <v>189</v>
      </c>
      <c r="F73" s="8">
        <v>214.32</v>
      </c>
      <c r="G73" s="8">
        <v>383</v>
      </c>
      <c r="H73" s="1">
        <f t="shared" si="7"/>
        <v>82084.56</v>
      </c>
      <c r="I73" s="4" t="str">
        <f t="shared" si="10"/>
        <v>Available</v>
      </c>
      <c r="J73" s="4" t="str">
        <f t="shared" si="8"/>
        <v>Mid range</v>
      </c>
      <c r="K73" s="8">
        <f t="shared" si="9"/>
        <v>300.04799999999994</v>
      </c>
    </row>
    <row r="74" spans="1:11" x14ac:dyDescent="0.25">
      <c r="A74" s="4" t="s">
        <v>190</v>
      </c>
      <c r="B74" s="4" t="s">
        <v>191</v>
      </c>
      <c r="C74" s="4" t="s">
        <v>37</v>
      </c>
      <c r="D74" s="4" t="s">
        <v>38</v>
      </c>
      <c r="E74" s="4" t="s">
        <v>323</v>
      </c>
      <c r="F74" s="8">
        <v>477.61</v>
      </c>
      <c r="G74" s="8">
        <v>300</v>
      </c>
      <c r="H74" s="1">
        <f t="shared" si="7"/>
        <v>143283</v>
      </c>
      <c r="I74" s="4" t="str">
        <f t="shared" si="10"/>
        <v>Available</v>
      </c>
      <c r="J74" s="4" t="str">
        <f t="shared" si="8"/>
        <v>premium</v>
      </c>
      <c r="K74" s="8">
        <f t="shared" si="9"/>
        <v>668.654</v>
      </c>
    </row>
    <row r="75" spans="1:11" x14ac:dyDescent="0.25">
      <c r="A75" s="4" t="s">
        <v>192</v>
      </c>
      <c r="B75" s="4" t="s">
        <v>193</v>
      </c>
      <c r="C75" s="4" t="s">
        <v>37</v>
      </c>
      <c r="D75" s="4" t="s">
        <v>96</v>
      </c>
      <c r="E75" s="4" t="s">
        <v>194</v>
      </c>
      <c r="F75" s="8">
        <v>107.06</v>
      </c>
      <c r="G75" s="8">
        <v>359</v>
      </c>
      <c r="H75" s="1">
        <f t="shared" si="7"/>
        <v>38434.54</v>
      </c>
      <c r="I75" s="4" t="str">
        <f t="shared" si="10"/>
        <v>Available</v>
      </c>
      <c r="J75" s="4" t="str">
        <f t="shared" si="8"/>
        <v>Low Budget</v>
      </c>
      <c r="K75" s="8">
        <f t="shared" si="9"/>
        <v>149.88399999999999</v>
      </c>
    </row>
    <row r="76" spans="1:11" x14ac:dyDescent="0.25">
      <c r="A76" s="4" t="s">
        <v>195</v>
      </c>
      <c r="B76" s="4" t="s">
        <v>196</v>
      </c>
      <c r="C76" s="4" t="s">
        <v>8</v>
      </c>
      <c r="D76" s="4" t="s">
        <v>33</v>
      </c>
      <c r="E76" s="4" t="s">
        <v>197</v>
      </c>
      <c r="F76" s="8">
        <v>403.71</v>
      </c>
      <c r="G76" s="8">
        <v>159</v>
      </c>
      <c r="H76" s="1">
        <f t="shared" si="7"/>
        <v>64189.89</v>
      </c>
      <c r="I76" s="4" t="str">
        <f t="shared" si="10"/>
        <v>Available</v>
      </c>
      <c r="J76" s="4" t="str">
        <f t="shared" si="8"/>
        <v>premium</v>
      </c>
      <c r="K76" s="8">
        <f t="shared" si="9"/>
        <v>565.19399999999996</v>
      </c>
    </row>
    <row r="77" spans="1:11" x14ac:dyDescent="0.25">
      <c r="A77" s="4" t="s">
        <v>198</v>
      </c>
      <c r="B77" s="4" t="s">
        <v>281</v>
      </c>
      <c r="C77" s="4" t="s">
        <v>12</v>
      </c>
      <c r="D77" s="4" t="s">
        <v>111</v>
      </c>
      <c r="E77" s="4" t="s">
        <v>324</v>
      </c>
      <c r="F77" s="8">
        <v>158.13999999999999</v>
      </c>
      <c r="G77" s="8">
        <v>82</v>
      </c>
      <c r="H77" s="1">
        <f t="shared" si="7"/>
        <v>12967.48</v>
      </c>
      <c r="I77" s="4" t="str">
        <f t="shared" si="10"/>
        <v>Low Stock</v>
      </c>
      <c r="J77" s="4" t="str">
        <f t="shared" si="8"/>
        <v>Low Budget</v>
      </c>
      <c r="K77" s="8">
        <f t="shared" si="9"/>
        <v>221.39599999999996</v>
      </c>
    </row>
    <row r="78" spans="1:11" x14ac:dyDescent="0.25">
      <c r="A78" s="4" t="s">
        <v>199</v>
      </c>
      <c r="B78" s="4" t="s">
        <v>200</v>
      </c>
      <c r="C78" s="4" t="s">
        <v>8</v>
      </c>
      <c r="D78" s="4" t="s">
        <v>9</v>
      </c>
      <c r="E78" s="4" t="s">
        <v>201</v>
      </c>
      <c r="F78" s="8">
        <v>392.89</v>
      </c>
      <c r="G78" s="8">
        <v>320</v>
      </c>
      <c r="H78" s="1">
        <f t="shared" si="7"/>
        <v>125724.79999999999</v>
      </c>
      <c r="I78" s="4" t="str">
        <f t="shared" si="10"/>
        <v>Available</v>
      </c>
      <c r="J78" s="4" t="str">
        <f t="shared" si="8"/>
        <v>premium</v>
      </c>
      <c r="K78" s="8">
        <f t="shared" si="9"/>
        <v>550.04599999999994</v>
      </c>
    </row>
    <row r="79" spans="1:11" x14ac:dyDescent="0.25">
      <c r="A79" s="4" t="s">
        <v>202</v>
      </c>
      <c r="B79" s="4" t="s">
        <v>282</v>
      </c>
      <c r="C79" s="4" t="s">
        <v>8</v>
      </c>
      <c r="D79" s="4" t="s">
        <v>54</v>
      </c>
      <c r="E79" s="4" t="s">
        <v>325</v>
      </c>
      <c r="F79" s="8">
        <v>480.9</v>
      </c>
      <c r="G79" s="8">
        <v>104</v>
      </c>
      <c r="H79" s="1">
        <f t="shared" si="7"/>
        <v>50013.599999999999</v>
      </c>
      <c r="I79" s="4" t="str">
        <f t="shared" si="10"/>
        <v>Available</v>
      </c>
      <c r="J79" s="4" t="str">
        <f t="shared" si="8"/>
        <v>premium</v>
      </c>
      <c r="K79" s="8">
        <f t="shared" si="9"/>
        <v>673.25999999999988</v>
      </c>
    </row>
    <row r="80" spans="1:11" x14ac:dyDescent="0.25">
      <c r="A80" s="4" t="s">
        <v>203</v>
      </c>
      <c r="B80" s="4" t="s">
        <v>204</v>
      </c>
      <c r="C80" s="4" t="s">
        <v>29</v>
      </c>
      <c r="D80" s="4" t="s">
        <v>51</v>
      </c>
      <c r="E80" s="4" t="s">
        <v>205</v>
      </c>
      <c r="F80" s="8">
        <v>325.26</v>
      </c>
      <c r="G80" s="8">
        <v>400</v>
      </c>
      <c r="H80" s="1">
        <f t="shared" si="7"/>
        <v>130104</v>
      </c>
      <c r="I80" s="4" t="str">
        <f t="shared" si="10"/>
        <v>Available</v>
      </c>
      <c r="J80" s="4" t="str">
        <f t="shared" si="8"/>
        <v>premium</v>
      </c>
      <c r="K80" s="8">
        <f t="shared" si="9"/>
        <v>455.36399999999998</v>
      </c>
    </row>
    <row r="81" spans="1:11" x14ac:dyDescent="0.25">
      <c r="A81" s="4" t="s">
        <v>206</v>
      </c>
      <c r="B81" s="4" t="s">
        <v>207</v>
      </c>
      <c r="C81" s="4" t="s">
        <v>29</v>
      </c>
      <c r="D81" s="4" t="s">
        <v>30</v>
      </c>
      <c r="E81" s="4" t="s">
        <v>208</v>
      </c>
      <c r="F81" s="8">
        <v>228.53</v>
      </c>
      <c r="G81" s="8">
        <v>469</v>
      </c>
      <c r="H81" s="1">
        <f t="shared" si="7"/>
        <v>107180.57</v>
      </c>
      <c r="I81" s="4" t="str">
        <f t="shared" si="10"/>
        <v>Available</v>
      </c>
      <c r="J81" s="4" t="str">
        <f t="shared" si="8"/>
        <v>Mid range</v>
      </c>
      <c r="K81" s="8">
        <f t="shared" si="9"/>
        <v>319.94200000000001</v>
      </c>
    </row>
    <row r="82" spans="1:11" x14ac:dyDescent="0.25">
      <c r="A82" s="4" t="s">
        <v>209</v>
      </c>
      <c r="B82" s="4" t="s">
        <v>210</v>
      </c>
      <c r="C82" s="4" t="s">
        <v>29</v>
      </c>
      <c r="D82" s="4" t="s">
        <v>41</v>
      </c>
      <c r="E82" s="4" t="s">
        <v>211</v>
      </c>
      <c r="F82" s="8">
        <v>143.43</v>
      </c>
      <c r="G82" s="8">
        <v>58</v>
      </c>
      <c r="H82" s="1">
        <f t="shared" si="7"/>
        <v>8318.94</v>
      </c>
      <c r="I82" s="4" t="str">
        <f t="shared" si="10"/>
        <v>Low Stock</v>
      </c>
      <c r="J82" s="4" t="str">
        <f t="shared" si="8"/>
        <v>Low Budget</v>
      </c>
      <c r="K82" s="8">
        <f t="shared" si="9"/>
        <v>200.80199999999999</v>
      </c>
    </row>
    <row r="83" spans="1:11" x14ac:dyDescent="0.25">
      <c r="A83" s="4" t="s">
        <v>212</v>
      </c>
      <c r="B83" s="4" t="s">
        <v>213</v>
      </c>
      <c r="C83" s="4" t="s">
        <v>37</v>
      </c>
      <c r="D83" s="4" t="s">
        <v>64</v>
      </c>
      <c r="E83" s="4" t="s">
        <v>214</v>
      </c>
      <c r="F83" s="8">
        <v>285.54000000000002</v>
      </c>
      <c r="G83" s="8">
        <v>358</v>
      </c>
      <c r="H83" s="1">
        <f t="shared" si="7"/>
        <v>102223.32</v>
      </c>
      <c r="I83" s="4" t="str">
        <f t="shared" si="10"/>
        <v>Available</v>
      </c>
      <c r="J83" s="4" t="str">
        <f t="shared" si="8"/>
        <v>Mid range</v>
      </c>
      <c r="K83" s="8">
        <f t="shared" si="9"/>
        <v>399.75600000000003</v>
      </c>
    </row>
    <row r="84" spans="1:11" x14ac:dyDescent="0.25">
      <c r="A84" s="4" t="s">
        <v>215</v>
      </c>
      <c r="B84" s="4" t="s">
        <v>216</v>
      </c>
      <c r="C84" s="4" t="s">
        <v>37</v>
      </c>
      <c r="D84" s="4" t="s">
        <v>38</v>
      </c>
      <c r="E84" s="4" t="s">
        <v>217</v>
      </c>
      <c r="F84" s="8">
        <v>152.91999999999999</v>
      </c>
      <c r="G84" s="8">
        <v>281</v>
      </c>
      <c r="H84" s="1">
        <f t="shared" si="7"/>
        <v>42970.52</v>
      </c>
      <c r="I84" s="4" t="str">
        <f t="shared" si="10"/>
        <v>Available</v>
      </c>
      <c r="J84" s="4" t="str">
        <f t="shared" si="8"/>
        <v>Low Budget</v>
      </c>
      <c r="K84" s="8">
        <f t="shared" si="9"/>
        <v>214.08799999999997</v>
      </c>
    </row>
    <row r="85" spans="1:11" x14ac:dyDescent="0.25">
      <c r="A85" s="4" t="s">
        <v>218</v>
      </c>
      <c r="B85" s="4" t="s">
        <v>219</v>
      </c>
      <c r="C85" s="4" t="s">
        <v>26</v>
      </c>
      <c r="D85" s="4" t="s">
        <v>27</v>
      </c>
      <c r="E85" s="4" t="s">
        <v>220</v>
      </c>
      <c r="F85" s="8">
        <v>254.04361702127662</v>
      </c>
      <c r="G85" s="8">
        <v>159</v>
      </c>
      <c r="H85" s="1">
        <f t="shared" si="7"/>
        <v>40392.935106382982</v>
      </c>
      <c r="I85" s="4" t="str">
        <f t="shared" si="10"/>
        <v>Available</v>
      </c>
      <c r="J85" s="4" t="str">
        <f t="shared" si="8"/>
        <v>Mid range</v>
      </c>
      <c r="K85" s="8">
        <f t="shared" si="9"/>
        <v>355.66106382978722</v>
      </c>
    </row>
    <row r="86" spans="1:11" x14ac:dyDescent="0.25">
      <c r="A86" s="4" t="s">
        <v>221</v>
      </c>
      <c r="B86" s="4" t="s">
        <v>222</v>
      </c>
      <c r="C86" s="4" t="s">
        <v>29</v>
      </c>
      <c r="D86" s="4" t="s">
        <v>181</v>
      </c>
      <c r="E86" s="4" t="s">
        <v>223</v>
      </c>
      <c r="F86" s="8">
        <v>388.46</v>
      </c>
      <c r="G86" s="8">
        <v>208</v>
      </c>
      <c r="H86" s="1">
        <f t="shared" si="7"/>
        <v>80799.679999999993</v>
      </c>
      <c r="I86" s="4" t="str">
        <f t="shared" si="10"/>
        <v>Available</v>
      </c>
      <c r="J86" s="4" t="str">
        <f t="shared" si="8"/>
        <v>premium</v>
      </c>
      <c r="K86" s="8">
        <f t="shared" si="9"/>
        <v>543.84399999999994</v>
      </c>
    </row>
    <row r="87" spans="1:11" x14ac:dyDescent="0.25">
      <c r="A87" s="4" t="s">
        <v>224</v>
      </c>
      <c r="B87" s="4" t="s">
        <v>283</v>
      </c>
      <c r="C87" s="4" t="s">
        <v>12</v>
      </c>
      <c r="D87" s="4" t="s">
        <v>23</v>
      </c>
      <c r="E87" s="4" t="s">
        <v>225</v>
      </c>
      <c r="F87" s="8">
        <v>119.57</v>
      </c>
      <c r="G87" s="8">
        <v>210</v>
      </c>
      <c r="H87" s="1">
        <f t="shared" si="7"/>
        <v>25109.699999999997</v>
      </c>
      <c r="I87" s="4" t="str">
        <f t="shared" si="10"/>
        <v>Available</v>
      </c>
      <c r="J87" s="4" t="str">
        <f t="shared" si="8"/>
        <v>Low Budget</v>
      </c>
      <c r="K87" s="8">
        <f t="shared" si="9"/>
        <v>167.39799999999997</v>
      </c>
    </row>
    <row r="88" spans="1:11" x14ac:dyDescent="0.25">
      <c r="A88" s="4" t="s">
        <v>226</v>
      </c>
      <c r="B88" s="4" t="s">
        <v>227</v>
      </c>
      <c r="C88" s="4" t="s">
        <v>29</v>
      </c>
      <c r="D88" s="4" t="s">
        <v>41</v>
      </c>
      <c r="E88" s="4" t="s">
        <v>326</v>
      </c>
      <c r="F88" s="8">
        <v>176.07</v>
      </c>
      <c r="G88" s="8">
        <v>82</v>
      </c>
      <c r="H88" s="1">
        <f t="shared" si="7"/>
        <v>14437.74</v>
      </c>
      <c r="I88" s="4" t="str">
        <f t="shared" si="10"/>
        <v>Low Stock</v>
      </c>
      <c r="J88" s="4" t="str">
        <f t="shared" si="8"/>
        <v>Low Budget</v>
      </c>
      <c r="K88" s="8">
        <f t="shared" si="9"/>
        <v>246.49799999999996</v>
      </c>
    </row>
    <row r="89" spans="1:11" x14ac:dyDescent="0.25">
      <c r="A89" s="4" t="s">
        <v>228</v>
      </c>
      <c r="B89" s="4" t="s">
        <v>284</v>
      </c>
      <c r="C89" s="4" t="s">
        <v>29</v>
      </c>
      <c r="D89" s="4" t="s">
        <v>30</v>
      </c>
      <c r="E89" s="4" t="s">
        <v>327</v>
      </c>
      <c r="F89" s="8">
        <v>371.38</v>
      </c>
      <c r="G89" s="8">
        <v>220</v>
      </c>
      <c r="H89" s="1">
        <f t="shared" si="7"/>
        <v>81703.600000000006</v>
      </c>
      <c r="I89" s="4" t="str">
        <f t="shared" si="10"/>
        <v>Available</v>
      </c>
      <c r="J89" s="4" t="str">
        <f t="shared" si="8"/>
        <v>premium</v>
      </c>
      <c r="K89" s="8">
        <f t="shared" si="9"/>
        <v>519.93200000000002</v>
      </c>
    </row>
    <row r="90" spans="1:11" x14ac:dyDescent="0.25">
      <c r="A90" s="4" t="s">
        <v>229</v>
      </c>
      <c r="B90" s="4" t="s">
        <v>230</v>
      </c>
      <c r="C90" s="4" t="s">
        <v>37</v>
      </c>
      <c r="D90" s="4" t="s">
        <v>23</v>
      </c>
      <c r="E90" s="4" t="s">
        <v>231</v>
      </c>
      <c r="F90" s="8">
        <v>131.24</v>
      </c>
      <c r="G90" s="8">
        <v>232</v>
      </c>
      <c r="H90" s="1">
        <f t="shared" si="7"/>
        <v>30447.68</v>
      </c>
      <c r="I90" s="4" t="str">
        <f t="shared" si="10"/>
        <v>Available</v>
      </c>
      <c r="J90" s="4" t="str">
        <f t="shared" si="8"/>
        <v>Low Budget</v>
      </c>
      <c r="K90" s="8">
        <f t="shared" si="9"/>
        <v>183.73599999999999</v>
      </c>
    </row>
    <row r="91" spans="1:11" x14ac:dyDescent="0.25">
      <c r="A91" s="4" t="s">
        <v>232</v>
      </c>
      <c r="B91" s="4" t="s">
        <v>233</v>
      </c>
      <c r="C91" s="4" t="s">
        <v>26</v>
      </c>
      <c r="D91" s="4" t="s">
        <v>135</v>
      </c>
      <c r="E91" s="4" t="s">
        <v>234</v>
      </c>
      <c r="F91" s="8">
        <v>183.04</v>
      </c>
      <c r="G91" s="8">
        <v>457</v>
      </c>
      <c r="H91" s="1">
        <f t="shared" si="7"/>
        <v>83649.279999999999</v>
      </c>
      <c r="I91" s="4" t="str">
        <f t="shared" si="10"/>
        <v>Available</v>
      </c>
      <c r="J91" s="4" t="str">
        <f t="shared" si="8"/>
        <v>Low Budget</v>
      </c>
      <c r="K91" s="8">
        <f t="shared" si="9"/>
        <v>256.25599999999997</v>
      </c>
    </row>
    <row r="92" spans="1:11" x14ac:dyDescent="0.25">
      <c r="A92" s="4" t="s">
        <v>235</v>
      </c>
      <c r="B92" s="4" t="s">
        <v>285</v>
      </c>
      <c r="C92" s="4" t="s">
        <v>8</v>
      </c>
      <c r="D92" s="4" t="s">
        <v>23</v>
      </c>
      <c r="E92" s="4" t="s">
        <v>328</v>
      </c>
      <c r="F92" s="8">
        <v>340.14</v>
      </c>
      <c r="G92" s="8">
        <v>361</v>
      </c>
      <c r="H92" s="1">
        <f t="shared" si="7"/>
        <v>122790.54</v>
      </c>
      <c r="I92" s="4" t="str">
        <f t="shared" si="10"/>
        <v>Available</v>
      </c>
      <c r="J92" s="4" t="str">
        <f t="shared" si="8"/>
        <v>premium</v>
      </c>
      <c r="K92" s="8">
        <f t="shared" si="9"/>
        <v>476.19599999999997</v>
      </c>
    </row>
    <row r="93" spans="1:11" x14ac:dyDescent="0.25">
      <c r="A93" s="4" t="s">
        <v>236</v>
      </c>
      <c r="B93" s="4" t="s">
        <v>286</v>
      </c>
      <c r="C93" s="4" t="s">
        <v>12</v>
      </c>
      <c r="D93" s="4" t="s">
        <v>111</v>
      </c>
      <c r="E93" s="4" t="s">
        <v>237</v>
      </c>
      <c r="F93" s="8">
        <v>438.25</v>
      </c>
      <c r="G93" s="8">
        <v>496</v>
      </c>
      <c r="H93" s="1">
        <f t="shared" si="7"/>
        <v>217372</v>
      </c>
      <c r="I93" s="4" t="str">
        <f t="shared" si="10"/>
        <v>Available</v>
      </c>
      <c r="J93" s="4" t="str">
        <f t="shared" si="8"/>
        <v>premium</v>
      </c>
      <c r="K93" s="8">
        <f t="shared" si="9"/>
        <v>613.54999999999995</v>
      </c>
    </row>
    <row r="94" spans="1:11" x14ac:dyDescent="0.25">
      <c r="A94" s="4" t="s">
        <v>238</v>
      </c>
      <c r="B94" s="4" t="s">
        <v>239</v>
      </c>
      <c r="C94" s="4" t="s">
        <v>29</v>
      </c>
      <c r="D94" s="4" t="s">
        <v>54</v>
      </c>
      <c r="E94" s="4" t="s">
        <v>329</v>
      </c>
      <c r="F94" s="8">
        <v>447.43</v>
      </c>
      <c r="G94" s="8">
        <v>191</v>
      </c>
      <c r="H94" s="1">
        <f t="shared" si="7"/>
        <v>85459.13</v>
      </c>
      <c r="I94" s="4" t="str">
        <f t="shared" si="10"/>
        <v>Available</v>
      </c>
      <c r="J94" s="4" t="str">
        <f t="shared" si="8"/>
        <v>premium</v>
      </c>
      <c r="K94" s="8">
        <f t="shared" si="9"/>
        <v>626.40199999999993</v>
      </c>
    </row>
    <row r="95" spans="1:11" x14ac:dyDescent="0.25">
      <c r="A95" s="4" t="s">
        <v>240</v>
      </c>
      <c r="B95" s="4" t="s">
        <v>287</v>
      </c>
      <c r="C95" s="4" t="s">
        <v>8</v>
      </c>
      <c r="D95" s="4" t="s">
        <v>9</v>
      </c>
      <c r="E95" s="4" t="s">
        <v>330</v>
      </c>
      <c r="F95" s="8">
        <v>377.52</v>
      </c>
      <c r="G95" s="8">
        <v>485</v>
      </c>
      <c r="H95" s="1">
        <f t="shared" si="7"/>
        <v>183097.19999999998</v>
      </c>
      <c r="I95" s="4" t="str">
        <f t="shared" si="10"/>
        <v>Available</v>
      </c>
      <c r="J95" s="4" t="str">
        <f t="shared" si="8"/>
        <v>premium</v>
      </c>
      <c r="K95" s="8">
        <f t="shared" si="9"/>
        <v>528.52799999999991</v>
      </c>
    </row>
    <row r="96" spans="1:11" x14ac:dyDescent="0.25">
      <c r="A96" s="4" t="s">
        <v>241</v>
      </c>
      <c r="B96" s="4" t="s">
        <v>242</v>
      </c>
      <c r="C96" s="4" t="s">
        <v>26</v>
      </c>
      <c r="D96" s="4" t="s">
        <v>27</v>
      </c>
      <c r="E96" s="4" t="s">
        <v>243</v>
      </c>
      <c r="F96" s="8">
        <v>358.47</v>
      </c>
      <c r="G96" s="8">
        <v>213</v>
      </c>
      <c r="H96" s="1">
        <f t="shared" si="7"/>
        <v>76354.11</v>
      </c>
      <c r="I96" s="4" t="str">
        <f t="shared" si="10"/>
        <v>Available</v>
      </c>
      <c r="J96" s="4" t="str">
        <f t="shared" si="8"/>
        <v>premium</v>
      </c>
      <c r="K96" s="8">
        <f t="shared" si="9"/>
        <v>501.858</v>
      </c>
    </row>
    <row r="97" spans="1:11" x14ac:dyDescent="0.25">
      <c r="A97" s="4" t="s">
        <v>244</v>
      </c>
      <c r="B97" s="4" t="s">
        <v>245</v>
      </c>
      <c r="C97" s="4" t="s">
        <v>37</v>
      </c>
      <c r="D97" s="4" t="s">
        <v>23</v>
      </c>
      <c r="E97" s="4" t="s">
        <v>246</v>
      </c>
      <c r="F97" s="8">
        <v>60.65</v>
      </c>
      <c r="G97" s="8">
        <v>75</v>
      </c>
      <c r="H97" s="1">
        <f t="shared" si="7"/>
        <v>4548.75</v>
      </c>
      <c r="I97" s="4" t="str">
        <f t="shared" si="10"/>
        <v>Low Stock</v>
      </c>
      <c r="J97" s="4" t="str">
        <f t="shared" si="8"/>
        <v>Low Budget</v>
      </c>
      <c r="K97" s="8">
        <f t="shared" si="9"/>
        <v>84.91</v>
      </c>
    </row>
    <row r="98" spans="1:11" x14ac:dyDescent="0.25">
      <c r="A98" s="4" t="s">
        <v>247</v>
      </c>
      <c r="B98" s="4" t="s">
        <v>288</v>
      </c>
      <c r="C98" s="4" t="s">
        <v>12</v>
      </c>
      <c r="D98" s="4" t="s">
        <v>16</v>
      </c>
      <c r="E98" s="4" t="s">
        <v>331</v>
      </c>
      <c r="F98" s="8">
        <v>358.47</v>
      </c>
      <c r="G98" s="8">
        <v>143</v>
      </c>
      <c r="H98" s="1">
        <f t="shared" ref="H98:H101" si="11">F98*G98</f>
        <v>51261.210000000006</v>
      </c>
      <c r="I98" s="4" t="str">
        <f t="shared" si="10"/>
        <v>Available</v>
      </c>
      <c r="J98" s="4" t="str">
        <f t="shared" si="8"/>
        <v>premium</v>
      </c>
      <c r="K98" s="8">
        <f t="shared" si="9"/>
        <v>501.858</v>
      </c>
    </row>
    <row r="99" spans="1:11" x14ac:dyDescent="0.25">
      <c r="A99" s="4" t="s">
        <v>248</v>
      </c>
      <c r="B99" s="4" t="s">
        <v>249</v>
      </c>
      <c r="C99" s="4" t="s">
        <v>37</v>
      </c>
      <c r="D99" s="4" t="s">
        <v>96</v>
      </c>
      <c r="E99" s="4" t="s">
        <v>332</v>
      </c>
      <c r="F99" s="8">
        <v>245.98</v>
      </c>
      <c r="G99" s="8">
        <v>471</v>
      </c>
      <c r="H99" s="1">
        <f t="shared" si="11"/>
        <v>115856.58</v>
      </c>
      <c r="I99" s="4" t="str">
        <f t="shared" si="10"/>
        <v>Available</v>
      </c>
      <c r="J99" s="4" t="str">
        <f t="shared" si="8"/>
        <v>Mid range</v>
      </c>
      <c r="K99" s="8">
        <f t="shared" si="9"/>
        <v>344.37199999999996</v>
      </c>
    </row>
    <row r="100" spans="1:11" x14ac:dyDescent="0.25">
      <c r="A100" s="4" t="s">
        <v>250</v>
      </c>
      <c r="B100" s="4" t="s">
        <v>251</v>
      </c>
      <c r="C100" s="4" t="s">
        <v>8</v>
      </c>
      <c r="D100" s="4" t="s">
        <v>33</v>
      </c>
      <c r="E100" s="4" t="s">
        <v>252</v>
      </c>
      <c r="F100" s="8">
        <v>431.67</v>
      </c>
      <c r="G100" s="8">
        <v>73</v>
      </c>
      <c r="H100" s="1">
        <f t="shared" si="11"/>
        <v>31511.91</v>
      </c>
      <c r="I100" s="4" t="str">
        <f t="shared" si="10"/>
        <v>Low Stock</v>
      </c>
      <c r="J100" s="4" t="str">
        <f t="shared" si="8"/>
        <v>premium</v>
      </c>
      <c r="K100" s="8">
        <f t="shared" si="9"/>
        <v>604.33799999999997</v>
      </c>
    </row>
    <row r="101" spans="1:11" x14ac:dyDescent="0.25">
      <c r="A101" s="4" t="s">
        <v>253</v>
      </c>
      <c r="B101" s="4" t="s">
        <v>254</v>
      </c>
      <c r="C101" s="4" t="s">
        <v>29</v>
      </c>
      <c r="D101" s="4" t="s">
        <v>41</v>
      </c>
      <c r="E101" s="4" t="s">
        <v>255</v>
      </c>
      <c r="F101" s="8">
        <v>201.41</v>
      </c>
      <c r="G101" s="8">
        <v>146</v>
      </c>
      <c r="H101" s="1">
        <f t="shared" si="11"/>
        <v>29405.86</v>
      </c>
      <c r="I101" s="4" t="str">
        <f t="shared" si="10"/>
        <v>Available</v>
      </c>
      <c r="J101" s="4" t="str">
        <f t="shared" si="8"/>
        <v>Mid range</v>
      </c>
      <c r="K101" s="8">
        <f t="shared" si="9"/>
        <v>281.97399999999999</v>
      </c>
    </row>
  </sheetData>
  <conditionalFormatting sqref="C1:C1048576">
    <cfRule type="dataBar" priority="3">
      <dataBar>
        <cfvo type="min"/>
        <cfvo type="max"/>
        <color rgb="FFFFB628"/>
      </dataBar>
      <extLst>
        <ext xmlns:x14="http://schemas.microsoft.com/office/spreadsheetml/2009/9/main" uri="{B025F937-C7B1-47D3-B67F-A62EFF666E3E}">
          <x14:id>{7EC3E06B-0B34-4164-BC85-DB24DC3715A0}</x14:id>
        </ext>
      </extLst>
    </cfRule>
    <cfRule type="colorScale" priority="9">
      <colorScale>
        <cfvo type="min"/>
        <cfvo type="percentile" val="50"/>
        <cfvo type="max"/>
        <color rgb="FFF8696B"/>
        <color rgb="FFFFEB84"/>
        <color rgb="FF63BE7B"/>
      </colorScale>
    </cfRule>
  </conditionalFormatting>
  <conditionalFormatting sqref="D1:D1048576">
    <cfRule type="dataBar" priority="5">
      <dataBar>
        <cfvo type="min"/>
        <cfvo type="max"/>
        <color rgb="FF638EC6"/>
      </dataBar>
      <extLst>
        <ext xmlns:x14="http://schemas.microsoft.com/office/spreadsheetml/2009/9/main" uri="{B025F937-C7B1-47D3-B67F-A62EFF666E3E}">
          <x14:id>{ED47D414-19EB-4EC1-9074-08CFC08A5F78}</x14:id>
        </ext>
      </extLst>
    </cfRule>
  </conditionalFormatting>
  <conditionalFormatting sqref="F1:F1048576">
    <cfRule type="cellIs" dxfId="3" priority="7" operator="greaterThan">
      <formula>200</formula>
    </cfRule>
  </conditionalFormatting>
  <conditionalFormatting sqref="G1:G1048576">
    <cfRule type="top10" dxfId="2" priority="6" rank="10"/>
  </conditionalFormatting>
  <conditionalFormatting sqref="H1:H1048576">
    <cfRule type="iconSet" priority="4">
      <iconSet iconSet="3Arrows">
        <cfvo type="percent" val="0"/>
        <cfvo type="percent" val="33"/>
        <cfvo type="percent" val="67"/>
      </iconSet>
    </cfRule>
  </conditionalFormatting>
  <conditionalFormatting sqref="J1:J1048576">
    <cfRule type="colorScale" priority="1">
      <colorScale>
        <cfvo type="min"/>
        <cfvo type="percentile" val="50"/>
        <cfvo type="max"/>
        <color rgb="FF63BE7B"/>
        <color rgb="FFFFEB84"/>
        <color rgb="FFF8696B"/>
      </colorScale>
    </cfRule>
    <cfRule type="dataBar" priority="2">
      <dataBar>
        <cfvo type="min"/>
        <cfvo type="max"/>
        <color rgb="FF63C384"/>
      </dataBar>
      <extLst>
        <ext xmlns:x14="http://schemas.microsoft.com/office/spreadsheetml/2009/9/main" uri="{B025F937-C7B1-47D3-B67F-A62EFF666E3E}">
          <x14:id>{40290D11-A1F8-4ECF-8AA8-19996614E1A4}</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EC3E06B-0B34-4164-BC85-DB24DC3715A0}">
            <x14:dataBar minLength="0" maxLength="100" border="1" negativeBarBorderColorSameAsPositive="0">
              <x14:cfvo type="autoMin"/>
              <x14:cfvo type="autoMax"/>
              <x14:borderColor rgb="FFFFB628"/>
              <x14:negativeFillColor rgb="FFFF0000"/>
              <x14:negativeBorderColor rgb="FFFF0000"/>
              <x14:axisColor rgb="FF000000"/>
            </x14:dataBar>
          </x14:cfRule>
          <xm:sqref>C1:C1048576</xm:sqref>
        </x14:conditionalFormatting>
        <x14:conditionalFormatting xmlns:xm="http://schemas.microsoft.com/office/excel/2006/main">
          <x14:cfRule type="dataBar" id="{ED47D414-19EB-4EC1-9074-08CFC08A5F78}">
            <x14:dataBar minLength="0" maxLength="100" border="1" negativeBarBorderColorSameAsPositive="0">
              <x14:cfvo type="autoMin"/>
              <x14:cfvo type="autoMax"/>
              <x14:borderColor rgb="FF638EC6"/>
              <x14:negativeFillColor rgb="FFFF0000"/>
              <x14:negativeBorderColor rgb="FFFF0000"/>
              <x14:axisColor rgb="FF000000"/>
            </x14:dataBar>
          </x14:cfRule>
          <xm:sqref>D1:D1048576</xm:sqref>
        </x14:conditionalFormatting>
        <x14:conditionalFormatting xmlns:xm="http://schemas.microsoft.com/office/excel/2006/main">
          <x14:cfRule type="dataBar" id="{40290D11-A1F8-4ECF-8AA8-19996614E1A4}">
            <x14:dataBar minLength="0" maxLength="100" border="1" negativeBarBorderColorSameAsPositive="0">
              <x14:cfvo type="autoMin"/>
              <x14:cfvo type="autoMax"/>
              <x14:borderColor rgb="FF63C384"/>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C418-DF7A-41CE-BBCF-B78E6B13F18F}">
  <dimension ref="A1:L101"/>
  <sheetViews>
    <sheetView workbookViewId="0">
      <selection activeCell="H16" sqref="H16"/>
    </sheetView>
  </sheetViews>
  <sheetFormatPr defaultRowHeight="15" x14ac:dyDescent="0.25"/>
  <cols>
    <col min="1" max="1" width="19.28515625" style="1" customWidth="1"/>
    <col min="2" max="2" width="9.140625" style="1"/>
    <col min="3" max="4" width="21" style="8" customWidth="1"/>
    <col min="5" max="5" width="17.7109375" customWidth="1"/>
    <col min="6" max="6" width="10.5703125" customWidth="1"/>
    <col min="7" max="7" width="17.7109375" customWidth="1"/>
    <col min="8" max="8" width="13.140625" customWidth="1"/>
    <col min="9" max="9" width="19.28515625" customWidth="1"/>
  </cols>
  <sheetData>
    <row r="1" spans="1:10" x14ac:dyDescent="0.25">
      <c r="A1" s="11" t="s">
        <v>4</v>
      </c>
      <c r="B1" s="11" t="s">
        <v>5</v>
      </c>
      <c r="C1" s="12" t="s">
        <v>336</v>
      </c>
      <c r="D1" s="7"/>
    </row>
    <row r="2" spans="1:10" x14ac:dyDescent="0.25">
      <c r="A2" s="1">
        <v>112.42</v>
      </c>
      <c r="B2" s="1">
        <v>416</v>
      </c>
      <c r="C2" s="8">
        <f>A2*1.4</f>
        <v>157.38800000000001</v>
      </c>
    </row>
    <row r="3" spans="1:10" x14ac:dyDescent="0.25">
      <c r="A3" s="1">
        <v>342.56</v>
      </c>
      <c r="B3" s="1">
        <v>181</v>
      </c>
      <c r="C3" s="8">
        <f t="shared" ref="C3:C66" si="0">A3*1.4</f>
        <v>479.58399999999995</v>
      </c>
      <c r="F3" t="s">
        <v>352</v>
      </c>
    </row>
    <row r="4" spans="1:10" ht="15.75" thickBot="1" x14ac:dyDescent="0.3">
      <c r="A4" s="1">
        <v>254.04361702127662</v>
      </c>
      <c r="B4" s="1">
        <v>352</v>
      </c>
      <c r="C4" s="8">
        <f t="shared" si="0"/>
        <v>355.66106382978722</v>
      </c>
      <c r="F4" t="s">
        <v>353</v>
      </c>
    </row>
    <row r="5" spans="1:10" x14ac:dyDescent="0.25">
      <c r="A5" s="1">
        <v>364.67</v>
      </c>
      <c r="B5" s="1">
        <v>452</v>
      </c>
      <c r="C5" s="8">
        <f t="shared" si="0"/>
        <v>510.53800000000001</v>
      </c>
      <c r="E5" s="13" t="s">
        <v>4</v>
      </c>
      <c r="F5" s="13"/>
      <c r="G5" s="13" t="s">
        <v>5</v>
      </c>
      <c r="H5" s="13"/>
      <c r="I5" s="13" t="s">
        <v>336</v>
      </c>
      <c r="J5" s="13"/>
    </row>
    <row r="6" spans="1:10" x14ac:dyDescent="0.25">
      <c r="A6" s="1">
        <v>306.45999999999998</v>
      </c>
      <c r="B6" s="1">
        <v>487</v>
      </c>
      <c r="C6" s="8">
        <f t="shared" si="0"/>
        <v>429.04399999999993</v>
      </c>
    </row>
    <row r="7" spans="1:10" x14ac:dyDescent="0.25">
      <c r="A7" s="1">
        <v>261</v>
      </c>
      <c r="B7" s="1">
        <v>59</v>
      </c>
      <c r="C7" s="8">
        <f t="shared" si="0"/>
        <v>365.4</v>
      </c>
      <c r="E7" t="s">
        <v>339</v>
      </c>
      <c r="F7">
        <v>254.04361702127665</v>
      </c>
      <c r="G7" t="s">
        <v>339</v>
      </c>
      <c r="H7">
        <v>273.49484536082474</v>
      </c>
      <c r="I7" t="s">
        <v>339</v>
      </c>
      <c r="J7">
        <v>355.66106382978739</v>
      </c>
    </row>
    <row r="8" spans="1:10" x14ac:dyDescent="0.25">
      <c r="A8" s="1">
        <v>312.8</v>
      </c>
      <c r="B8" s="1">
        <v>350</v>
      </c>
      <c r="C8" s="8">
        <f t="shared" si="0"/>
        <v>437.92</v>
      </c>
      <c r="E8" t="s">
        <v>340</v>
      </c>
      <c r="F8">
        <v>13.082030954556746</v>
      </c>
      <c r="G8" t="s">
        <v>340</v>
      </c>
      <c r="H8">
        <v>12.995042751114784</v>
      </c>
      <c r="I8" t="s">
        <v>340</v>
      </c>
      <c r="J8">
        <v>18.314843336379415</v>
      </c>
    </row>
    <row r="9" spans="1:10" x14ac:dyDescent="0.25">
      <c r="A9" s="1">
        <v>218.86</v>
      </c>
      <c r="B9" s="1">
        <v>170</v>
      </c>
      <c r="C9" s="8">
        <f t="shared" si="0"/>
        <v>306.404</v>
      </c>
      <c r="E9" t="s">
        <v>341</v>
      </c>
      <c r="F9">
        <v>253.68680851063831</v>
      </c>
      <c r="G9" t="s">
        <v>341</v>
      </c>
      <c r="H9">
        <v>273.49484536082474</v>
      </c>
      <c r="I9" t="s">
        <v>341</v>
      </c>
      <c r="J9">
        <v>355.1615319148936</v>
      </c>
    </row>
    <row r="10" spans="1:10" x14ac:dyDescent="0.25">
      <c r="A10" s="1">
        <v>439.07</v>
      </c>
      <c r="B10" s="1">
        <v>142</v>
      </c>
      <c r="C10" s="8">
        <f t="shared" si="0"/>
        <v>614.69799999999998</v>
      </c>
      <c r="E10" t="s">
        <v>342</v>
      </c>
      <c r="F10">
        <v>254.04361702127662</v>
      </c>
      <c r="G10" t="s">
        <v>342</v>
      </c>
      <c r="H10">
        <v>273.49484536082474</v>
      </c>
      <c r="I10" t="s">
        <v>342</v>
      </c>
      <c r="J10">
        <v>355.66106382978722</v>
      </c>
    </row>
    <row r="11" spans="1:10" x14ac:dyDescent="0.25">
      <c r="A11" s="1">
        <v>495.72</v>
      </c>
      <c r="B11" s="1">
        <v>323</v>
      </c>
      <c r="C11" s="8">
        <f t="shared" si="0"/>
        <v>694.00800000000004</v>
      </c>
      <c r="E11" t="s">
        <v>343</v>
      </c>
      <c r="F11">
        <v>130.82030954556745</v>
      </c>
      <c r="G11" t="s">
        <v>343</v>
      </c>
      <c r="H11">
        <v>129.95042751114784</v>
      </c>
      <c r="I11" t="s">
        <v>343</v>
      </c>
      <c r="J11">
        <v>183.14843336379414</v>
      </c>
    </row>
    <row r="12" spans="1:10" x14ac:dyDescent="0.25">
      <c r="A12" s="1">
        <v>298.86</v>
      </c>
      <c r="B12" s="1">
        <v>308</v>
      </c>
      <c r="C12" s="8">
        <f t="shared" si="0"/>
        <v>418.404</v>
      </c>
      <c r="E12" t="s">
        <v>344</v>
      </c>
      <c r="F12">
        <v>17113.953389598086</v>
      </c>
      <c r="G12" t="s">
        <v>344</v>
      </c>
      <c r="H12">
        <v>16887.113610330085</v>
      </c>
      <c r="I12" t="s">
        <v>344</v>
      </c>
      <c r="J12">
        <v>33543.348643612138</v>
      </c>
    </row>
    <row r="13" spans="1:10" x14ac:dyDescent="0.25">
      <c r="A13" s="1">
        <v>449.4</v>
      </c>
      <c r="B13" s="1">
        <v>273.49484536082474</v>
      </c>
      <c r="C13" s="8">
        <f t="shared" si="0"/>
        <v>629.16</v>
      </c>
      <c r="E13" t="s">
        <v>345</v>
      </c>
      <c r="F13">
        <v>-0.94910645175298303</v>
      </c>
      <c r="G13" t="s">
        <v>345</v>
      </c>
      <c r="H13">
        <v>-1.1529412291213441</v>
      </c>
      <c r="I13" t="s">
        <v>345</v>
      </c>
      <c r="J13">
        <v>-0.94910645175298569</v>
      </c>
    </row>
    <row r="14" spans="1:10" x14ac:dyDescent="0.25">
      <c r="A14" s="1">
        <v>115.82</v>
      </c>
      <c r="B14" s="1">
        <v>460</v>
      </c>
      <c r="C14" s="8">
        <f t="shared" si="0"/>
        <v>162.14799999999997</v>
      </c>
      <c r="E14" t="s">
        <v>346</v>
      </c>
      <c r="F14">
        <v>5.2318343608401215E-2</v>
      </c>
      <c r="G14" t="s">
        <v>346</v>
      </c>
      <c r="H14">
        <v>-7.6913409489588512E-3</v>
      </c>
      <c r="I14" t="s">
        <v>346</v>
      </c>
      <c r="J14">
        <v>5.2318343608399237E-2</v>
      </c>
    </row>
    <row r="15" spans="1:10" x14ac:dyDescent="0.25">
      <c r="A15" s="1">
        <v>242.23</v>
      </c>
      <c r="B15" s="1">
        <v>453</v>
      </c>
      <c r="C15" s="8">
        <f t="shared" si="0"/>
        <v>339.12199999999996</v>
      </c>
      <c r="E15" t="s">
        <v>347</v>
      </c>
      <c r="F15">
        <v>478.41</v>
      </c>
      <c r="G15" t="s">
        <v>347</v>
      </c>
      <c r="H15">
        <v>439</v>
      </c>
      <c r="I15" t="s">
        <v>347</v>
      </c>
      <c r="J15">
        <v>669.774</v>
      </c>
    </row>
    <row r="16" spans="1:10" x14ac:dyDescent="0.25">
      <c r="A16" s="1">
        <v>48.01</v>
      </c>
      <c r="B16" s="1">
        <v>439</v>
      </c>
      <c r="C16" s="8">
        <f t="shared" si="0"/>
        <v>67.213999999999999</v>
      </c>
      <c r="E16" t="s">
        <v>348</v>
      </c>
      <c r="F16">
        <v>17.309999999999999</v>
      </c>
      <c r="G16" t="s">
        <v>348</v>
      </c>
      <c r="H16">
        <v>57</v>
      </c>
      <c r="I16" t="s">
        <v>348</v>
      </c>
      <c r="J16">
        <v>24.233999999999998</v>
      </c>
    </row>
    <row r="17" spans="1:10" x14ac:dyDescent="0.25">
      <c r="A17" s="1">
        <v>465.34</v>
      </c>
      <c r="B17" s="1">
        <v>301</v>
      </c>
      <c r="C17" s="8">
        <f t="shared" si="0"/>
        <v>651.47599999999989</v>
      </c>
      <c r="E17" t="s">
        <v>349</v>
      </c>
      <c r="F17">
        <v>495.72</v>
      </c>
      <c r="G17" t="s">
        <v>349</v>
      </c>
      <c r="H17">
        <v>496</v>
      </c>
      <c r="I17" t="s">
        <v>349</v>
      </c>
      <c r="J17">
        <v>694.00800000000004</v>
      </c>
    </row>
    <row r="18" spans="1:10" x14ac:dyDescent="0.25">
      <c r="A18" s="1">
        <v>337.42</v>
      </c>
      <c r="B18" s="1">
        <v>256</v>
      </c>
      <c r="C18" s="8">
        <f t="shared" si="0"/>
        <v>472.38799999999998</v>
      </c>
      <c r="E18" s="15" t="s">
        <v>350</v>
      </c>
      <c r="F18" s="15">
        <v>25404.361702127666</v>
      </c>
      <c r="G18" t="s">
        <v>350</v>
      </c>
      <c r="H18" s="15">
        <v>27349.484536082477</v>
      </c>
      <c r="I18" t="s">
        <v>350</v>
      </c>
      <c r="J18" s="15">
        <v>35566.106382978702</v>
      </c>
    </row>
    <row r="19" spans="1:10" ht="15.75" thickBot="1" x14ac:dyDescent="0.3">
      <c r="A19" s="1">
        <v>144.53</v>
      </c>
      <c r="B19" s="1">
        <v>367</v>
      </c>
      <c r="C19" s="8">
        <f t="shared" si="0"/>
        <v>202.34199999999998</v>
      </c>
      <c r="E19" s="16" t="s">
        <v>351</v>
      </c>
      <c r="F19" s="16">
        <v>100</v>
      </c>
      <c r="G19" s="16" t="s">
        <v>351</v>
      </c>
      <c r="H19" s="16">
        <v>100</v>
      </c>
      <c r="I19" s="16" t="s">
        <v>351</v>
      </c>
      <c r="J19" s="16">
        <v>100</v>
      </c>
    </row>
    <row r="20" spans="1:10" x14ac:dyDescent="0.25">
      <c r="A20" s="1">
        <v>254.04361702127662</v>
      </c>
      <c r="B20" s="1">
        <v>343</v>
      </c>
      <c r="C20" s="8">
        <f t="shared" si="0"/>
        <v>355.66106382978722</v>
      </c>
    </row>
    <row r="21" spans="1:10" x14ac:dyDescent="0.25">
      <c r="A21" s="1">
        <v>21.34</v>
      </c>
      <c r="B21" s="1">
        <v>65</v>
      </c>
      <c r="C21" s="8">
        <f t="shared" si="0"/>
        <v>29.875999999999998</v>
      </c>
    </row>
    <row r="22" spans="1:10" x14ac:dyDescent="0.25">
      <c r="A22" s="1">
        <v>131.51</v>
      </c>
      <c r="B22" s="1">
        <v>273.49484536082474</v>
      </c>
      <c r="C22" s="8">
        <f t="shared" si="0"/>
        <v>184.11399999999998</v>
      </c>
    </row>
    <row r="23" spans="1:10" x14ac:dyDescent="0.25">
      <c r="A23" s="1">
        <v>123.46</v>
      </c>
      <c r="B23" s="1">
        <v>76</v>
      </c>
      <c r="C23" s="8">
        <f t="shared" si="0"/>
        <v>172.84399999999999</v>
      </c>
    </row>
    <row r="24" spans="1:10" x14ac:dyDescent="0.25">
      <c r="A24" s="1">
        <v>484.62</v>
      </c>
      <c r="B24" s="1">
        <v>432</v>
      </c>
      <c r="C24" s="8">
        <f t="shared" si="0"/>
        <v>678.46799999999996</v>
      </c>
    </row>
    <row r="25" spans="1:10" x14ac:dyDescent="0.25">
      <c r="A25" s="1">
        <v>254.04361702127662</v>
      </c>
      <c r="B25" s="1">
        <v>360</v>
      </c>
      <c r="C25" s="8">
        <f t="shared" si="0"/>
        <v>355.66106382978722</v>
      </c>
    </row>
    <row r="26" spans="1:10" x14ac:dyDescent="0.25">
      <c r="A26" s="1">
        <v>166.06</v>
      </c>
      <c r="B26" s="1">
        <v>340</v>
      </c>
      <c r="C26" s="8">
        <f t="shared" si="0"/>
        <v>232.48399999999998</v>
      </c>
    </row>
    <row r="27" spans="1:10" x14ac:dyDescent="0.25">
      <c r="A27" s="1">
        <v>174.02</v>
      </c>
      <c r="B27" s="1">
        <v>268</v>
      </c>
      <c r="C27" s="8">
        <f t="shared" si="0"/>
        <v>243.62799999999999</v>
      </c>
    </row>
    <row r="28" spans="1:10" x14ac:dyDescent="0.25">
      <c r="A28" s="1">
        <v>322.41000000000003</v>
      </c>
      <c r="B28" s="1">
        <v>213</v>
      </c>
      <c r="C28" s="8">
        <f t="shared" si="0"/>
        <v>451.37400000000002</v>
      </c>
    </row>
    <row r="29" spans="1:10" x14ac:dyDescent="0.25">
      <c r="A29" s="1">
        <v>254.04361702127662</v>
      </c>
      <c r="B29" s="1">
        <v>378</v>
      </c>
      <c r="C29" s="8">
        <f t="shared" si="0"/>
        <v>355.66106382978722</v>
      </c>
    </row>
    <row r="30" spans="1:10" x14ac:dyDescent="0.25">
      <c r="A30" s="1">
        <v>38.76</v>
      </c>
      <c r="B30" s="1">
        <v>137</v>
      </c>
      <c r="C30" s="8">
        <f t="shared" si="0"/>
        <v>54.263999999999996</v>
      </c>
    </row>
    <row r="31" spans="1:10" x14ac:dyDescent="0.25">
      <c r="A31" s="1">
        <v>218.48</v>
      </c>
      <c r="B31" s="1">
        <v>276</v>
      </c>
      <c r="C31" s="8">
        <f t="shared" si="0"/>
        <v>305.87199999999996</v>
      </c>
    </row>
    <row r="32" spans="1:10" x14ac:dyDescent="0.25">
      <c r="A32" s="1">
        <v>19.52</v>
      </c>
      <c r="B32" s="1">
        <v>57</v>
      </c>
      <c r="C32" s="8">
        <f t="shared" si="0"/>
        <v>27.327999999999999</v>
      </c>
    </row>
    <row r="33" spans="1:3" x14ac:dyDescent="0.25">
      <c r="A33" s="1">
        <v>204.39</v>
      </c>
      <c r="B33" s="1">
        <v>281</v>
      </c>
      <c r="C33" s="8">
        <f t="shared" si="0"/>
        <v>286.14599999999996</v>
      </c>
    </row>
    <row r="34" spans="1:3" x14ac:dyDescent="0.25">
      <c r="A34" s="1">
        <v>283.83</v>
      </c>
      <c r="B34" s="1">
        <v>244</v>
      </c>
      <c r="C34" s="8">
        <f t="shared" si="0"/>
        <v>397.36199999999997</v>
      </c>
    </row>
    <row r="35" spans="1:3" x14ac:dyDescent="0.25">
      <c r="A35" s="1">
        <v>179.77</v>
      </c>
      <c r="B35" s="1">
        <v>305</v>
      </c>
      <c r="C35" s="8">
        <f t="shared" si="0"/>
        <v>251.678</v>
      </c>
    </row>
    <row r="36" spans="1:3" x14ac:dyDescent="0.25">
      <c r="A36" s="1">
        <v>419.28</v>
      </c>
      <c r="B36" s="1">
        <v>86</v>
      </c>
      <c r="C36" s="8">
        <f t="shared" si="0"/>
        <v>586.99199999999996</v>
      </c>
    </row>
    <row r="37" spans="1:3" x14ac:dyDescent="0.25">
      <c r="A37" s="1">
        <v>382.22</v>
      </c>
      <c r="B37" s="1">
        <v>329</v>
      </c>
      <c r="C37" s="8">
        <f t="shared" si="0"/>
        <v>535.10800000000006</v>
      </c>
    </row>
    <row r="38" spans="1:3" x14ac:dyDescent="0.25">
      <c r="A38" s="1">
        <v>223.43</v>
      </c>
      <c r="B38" s="1">
        <v>154</v>
      </c>
      <c r="C38" s="8">
        <f t="shared" si="0"/>
        <v>312.80199999999996</v>
      </c>
    </row>
    <row r="39" spans="1:3" x14ac:dyDescent="0.25">
      <c r="A39" s="1">
        <v>353.47</v>
      </c>
      <c r="B39" s="1">
        <v>214</v>
      </c>
      <c r="C39" s="8">
        <f t="shared" si="0"/>
        <v>494.858</v>
      </c>
    </row>
    <row r="40" spans="1:3" x14ac:dyDescent="0.25">
      <c r="A40" s="1">
        <v>135.61000000000001</v>
      </c>
      <c r="B40" s="1">
        <v>394</v>
      </c>
      <c r="C40" s="8">
        <f t="shared" si="0"/>
        <v>189.85400000000001</v>
      </c>
    </row>
    <row r="41" spans="1:3" x14ac:dyDescent="0.25">
      <c r="A41" s="1">
        <v>326.06</v>
      </c>
      <c r="B41" s="1">
        <v>301</v>
      </c>
      <c r="C41" s="8">
        <f t="shared" si="0"/>
        <v>456.48399999999998</v>
      </c>
    </row>
    <row r="42" spans="1:3" x14ac:dyDescent="0.25">
      <c r="A42" s="1">
        <v>38.520000000000003</v>
      </c>
      <c r="B42" s="1">
        <v>378</v>
      </c>
      <c r="C42" s="8">
        <f t="shared" si="0"/>
        <v>53.928000000000004</v>
      </c>
    </row>
    <row r="43" spans="1:3" x14ac:dyDescent="0.25">
      <c r="A43" s="1">
        <v>313.26</v>
      </c>
      <c r="B43" s="1">
        <v>369</v>
      </c>
      <c r="C43" s="8">
        <f t="shared" si="0"/>
        <v>438.56399999999996</v>
      </c>
    </row>
    <row r="44" spans="1:3" x14ac:dyDescent="0.25">
      <c r="A44" s="1">
        <v>450.71</v>
      </c>
      <c r="B44" s="1">
        <v>389</v>
      </c>
      <c r="C44" s="8">
        <f t="shared" si="0"/>
        <v>630.99399999999991</v>
      </c>
    </row>
    <row r="45" spans="1:3" x14ac:dyDescent="0.25">
      <c r="A45" s="1">
        <v>253.33</v>
      </c>
      <c r="B45" s="1">
        <v>266</v>
      </c>
      <c r="C45" s="8">
        <f t="shared" si="0"/>
        <v>354.66199999999998</v>
      </c>
    </row>
    <row r="46" spans="1:3" x14ac:dyDescent="0.25">
      <c r="A46" s="1">
        <v>167.12</v>
      </c>
      <c r="B46" s="1">
        <v>316</v>
      </c>
      <c r="C46" s="8">
        <f t="shared" si="0"/>
        <v>233.96799999999999</v>
      </c>
    </row>
    <row r="47" spans="1:3" x14ac:dyDescent="0.25">
      <c r="A47" s="1">
        <v>318.91000000000003</v>
      </c>
      <c r="B47" s="1">
        <v>114</v>
      </c>
      <c r="C47" s="8">
        <f t="shared" si="0"/>
        <v>446.47399999999999</v>
      </c>
    </row>
    <row r="48" spans="1:3" x14ac:dyDescent="0.25">
      <c r="A48" s="1">
        <v>167.34</v>
      </c>
      <c r="B48" s="1">
        <v>296</v>
      </c>
      <c r="C48" s="8">
        <f t="shared" si="0"/>
        <v>234.27599999999998</v>
      </c>
    </row>
    <row r="49" spans="1:3" x14ac:dyDescent="0.25">
      <c r="A49" s="1">
        <v>254.04361702127662</v>
      </c>
      <c r="B49" s="1">
        <v>431</v>
      </c>
      <c r="C49" s="8">
        <f t="shared" si="0"/>
        <v>355.66106382978722</v>
      </c>
    </row>
    <row r="50" spans="1:3" x14ac:dyDescent="0.25">
      <c r="A50" s="1">
        <v>177.98</v>
      </c>
      <c r="B50" s="1">
        <v>103</v>
      </c>
      <c r="C50" s="8">
        <f t="shared" si="0"/>
        <v>249.17199999999997</v>
      </c>
    </row>
    <row r="51" spans="1:3" x14ac:dyDescent="0.25">
      <c r="A51" s="1">
        <v>43.29</v>
      </c>
      <c r="B51" s="1">
        <v>267</v>
      </c>
      <c r="C51" s="8">
        <f t="shared" si="0"/>
        <v>60.605999999999995</v>
      </c>
    </row>
    <row r="52" spans="1:3" x14ac:dyDescent="0.25">
      <c r="A52" s="1">
        <v>190.29</v>
      </c>
      <c r="B52" s="1">
        <v>260</v>
      </c>
      <c r="C52" s="8">
        <f t="shared" si="0"/>
        <v>266.40599999999995</v>
      </c>
    </row>
    <row r="53" spans="1:3" x14ac:dyDescent="0.25">
      <c r="A53" s="1">
        <v>88.49</v>
      </c>
      <c r="B53" s="1">
        <v>246</v>
      </c>
      <c r="C53" s="8">
        <f t="shared" si="0"/>
        <v>123.88599999999998</v>
      </c>
    </row>
    <row r="54" spans="1:3" x14ac:dyDescent="0.25">
      <c r="A54" s="1">
        <v>212.26</v>
      </c>
      <c r="B54" s="1">
        <v>82</v>
      </c>
      <c r="C54" s="8">
        <f t="shared" si="0"/>
        <v>297.16399999999999</v>
      </c>
    </row>
    <row r="55" spans="1:3" x14ac:dyDescent="0.25">
      <c r="A55" s="1">
        <v>386.56</v>
      </c>
      <c r="B55" s="1">
        <v>125</v>
      </c>
      <c r="C55" s="8">
        <f t="shared" si="0"/>
        <v>541.18399999999997</v>
      </c>
    </row>
    <row r="56" spans="1:3" x14ac:dyDescent="0.25">
      <c r="A56" s="1">
        <v>434.84</v>
      </c>
      <c r="B56" s="1">
        <v>185</v>
      </c>
      <c r="C56" s="8">
        <f t="shared" si="0"/>
        <v>608.77599999999995</v>
      </c>
    </row>
    <row r="57" spans="1:3" x14ac:dyDescent="0.25">
      <c r="A57" s="1">
        <v>81.75</v>
      </c>
      <c r="B57" s="1">
        <v>273.49484536082474</v>
      </c>
      <c r="C57" s="8">
        <f t="shared" si="0"/>
        <v>114.44999999999999</v>
      </c>
    </row>
    <row r="58" spans="1:3" x14ac:dyDescent="0.25">
      <c r="A58" s="1">
        <v>461.47</v>
      </c>
      <c r="B58" s="1">
        <v>190</v>
      </c>
      <c r="C58" s="8">
        <f t="shared" si="0"/>
        <v>646.05799999999999</v>
      </c>
    </row>
    <row r="59" spans="1:3" x14ac:dyDescent="0.25">
      <c r="A59" s="1">
        <v>30.62</v>
      </c>
      <c r="B59" s="1">
        <v>138</v>
      </c>
      <c r="C59" s="8">
        <f t="shared" si="0"/>
        <v>42.868000000000002</v>
      </c>
    </row>
    <row r="60" spans="1:3" x14ac:dyDescent="0.25">
      <c r="A60" s="1">
        <v>113.83</v>
      </c>
      <c r="B60" s="1">
        <v>485</v>
      </c>
      <c r="C60" s="8">
        <f t="shared" si="0"/>
        <v>159.36199999999999</v>
      </c>
    </row>
    <row r="61" spans="1:3" x14ac:dyDescent="0.25">
      <c r="A61" s="1">
        <v>17.309999999999999</v>
      </c>
      <c r="B61" s="1">
        <v>399</v>
      </c>
      <c r="C61" s="8">
        <f t="shared" si="0"/>
        <v>24.233999999999998</v>
      </c>
    </row>
    <row r="62" spans="1:3" x14ac:dyDescent="0.25">
      <c r="A62" s="1">
        <v>482.75</v>
      </c>
      <c r="B62" s="1">
        <v>444</v>
      </c>
      <c r="C62" s="8">
        <f t="shared" si="0"/>
        <v>675.84999999999991</v>
      </c>
    </row>
    <row r="63" spans="1:3" x14ac:dyDescent="0.25">
      <c r="A63" s="1">
        <v>103.45</v>
      </c>
      <c r="B63" s="1">
        <v>465</v>
      </c>
      <c r="C63" s="8">
        <f t="shared" si="0"/>
        <v>144.82999999999998</v>
      </c>
    </row>
    <row r="64" spans="1:3" x14ac:dyDescent="0.25">
      <c r="A64" s="1">
        <v>86.42</v>
      </c>
      <c r="B64" s="1">
        <v>222</v>
      </c>
      <c r="C64" s="8">
        <f t="shared" si="0"/>
        <v>120.988</v>
      </c>
    </row>
    <row r="65" spans="1:3" x14ac:dyDescent="0.25">
      <c r="A65" s="1">
        <v>266.86</v>
      </c>
      <c r="B65" s="1">
        <v>458</v>
      </c>
      <c r="C65" s="8">
        <f t="shared" si="0"/>
        <v>373.60399999999998</v>
      </c>
    </row>
    <row r="66" spans="1:3" x14ac:dyDescent="0.25">
      <c r="A66" s="1">
        <v>299.11</v>
      </c>
      <c r="B66" s="1">
        <v>118</v>
      </c>
      <c r="C66" s="8">
        <f t="shared" si="0"/>
        <v>418.75400000000002</v>
      </c>
    </row>
    <row r="67" spans="1:3" x14ac:dyDescent="0.25">
      <c r="A67" s="1">
        <v>240.63</v>
      </c>
      <c r="B67" s="1">
        <v>423</v>
      </c>
      <c r="C67" s="8">
        <f t="shared" ref="C67:C101" si="1">A67*1.4</f>
        <v>336.88199999999995</v>
      </c>
    </row>
    <row r="68" spans="1:3" x14ac:dyDescent="0.25">
      <c r="A68" s="1">
        <v>340.39</v>
      </c>
      <c r="B68" s="1">
        <v>177</v>
      </c>
      <c r="C68" s="8">
        <f t="shared" si="1"/>
        <v>476.54599999999994</v>
      </c>
    </row>
    <row r="69" spans="1:3" x14ac:dyDescent="0.25">
      <c r="A69" s="1">
        <v>349.17</v>
      </c>
      <c r="B69" s="1">
        <v>476</v>
      </c>
      <c r="C69" s="8">
        <f t="shared" si="1"/>
        <v>488.83799999999997</v>
      </c>
    </row>
    <row r="70" spans="1:3" x14ac:dyDescent="0.25">
      <c r="A70" s="1">
        <v>243.7</v>
      </c>
      <c r="B70" s="1">
        <v>130</v>
      </c>
      <c r="C70" s="8">
        <f t="shared" si="1"/>
        <v>341.17999999999995</v>
      </c>
    </row>
    <row r="71" spans="1:3" x14ac:dyDescent="0.25">
      <c r="A71" s="1">
        <v>218.22</v>
      </c>
      <c r="B71" s="1">
        <v>224</v>
      </c>
      <c r="C71" s="8">
        <f t="shared" si="1"/>
        <v>305.50799999999998</v>
      </c>
    </row>
    <row r="72" spans="1:3" x14ac:dyDescent="0.25">
      <c r="A72" s="1">
        <v>138.05000000000001</v>
      </c>
      <c r="B72" s="1">
        <v>89</v>
      </c>
      <c r="C72" s="8">
        <f t="shared" si="1"/>
        <v>193.27</v>
      </c>
    </row>
    <row r="73" spans="1:3" x14ac:dyDescent="0.25">
      <c r="A73" s="1">
        <v>214.32</v>
      </c>
      <c r="B73" s="1">
        <v>383</v>
      </c>
      <c r="C73" s="8">
        <f t="shared" si="1"/>
        <v>300.04799999999994</v>
      </c>
    </row>
    <row r="74" spans="1:3" x14ac:dyDescent="0.25">
      <c r="A74" s="1">
        <v>477.61</v>
      </c>
      <c r="B74" s="1">
        <v>300</v>
      </c>
      <c r="C74" s="8">
        <f t="shared" si="1"/>
        <v>668.654</v>
      </c>
    </row>
    <row r="75" spans="1:3" x14ac:dyDescent="0.25">
      <c r="A75" s="1">
        <v>107.06</v>
      </c>
      <c r="B75" s="1">
        <v>359</v>
      </c>
      <c r="C75" s="8">
        <f t="shared" si="1"/>
        <v>149.88399999999999</v>
      </c>
    </row>
    <row r="76" spans="1:3" x14ac:dyDescent="0.25">
      <c r="A76" s="1">
        <v>403.71</v>
      </c>
      <c r="B76" s="1">
        <v>159</v>
      </c>
      <c r="C76" s="8">
        <f t="shared" si="1"/>
        <v>565.19399999999996</v>
      </c>
    </row>
    <row r="77" spans="1:3" x14ac:dyDescent="0.25">
      <c r="A77" s="1">
        <v>158.13999999999999</v>
      </c>
      <c r="B77" s="1">
        <v>82</v>
      </c>
      <c r="C77" s="8">
        <f t="shared" si="1"/>
        <v>221.39599999999996</v>
      </c>
    </row>
    <row r="78" spans="1:3" x14ac:dyDescent="0.25">
      <c r="A78" s="1">
        <v>392.89</v>
      </c>
      <c r="B78" s="1">
        <v>320</v>
      </c>
      <c r="C78" s="8">
        <f t="shared" si="1"/>
        <v>550.04599999999994</v>
      </c>
    </row>
    <row r="79" spans="1:3" x14ac:dyDescent="0.25">
      <c r="A79" s="1">
        <v>480.9</v>
      </c>
      <c r="B79" s="1">
        <v>104</v>
      </c>
      <c r="C79" s="8">
        <f t="shared" si="1"/>
        <v>673.25999999999988</v>
      </c>
    </row>
    <row r="80" spans="1:3" x14ac:dyDescent="0.25">
      <c r="A80" s="1">
        <v>325.26</v>
      </c>
      <c r="B80" s="1">
        <v>400</v>
      </c>
      <c r="C80" s="8">
        <f t="shared" si="1"/>
        <v>455.36399999999998</v>
      </c>
    </row>
    <row r="81" spans="1:12" x14ac:dyDescent="0.25">
      <c r="A81" s="1">
        <v>228.53</v>
      </c>
      <c r="B81" s="1">
        <v>469</v>
      </c>
      <c r="C81" s="8">
        <f t="shared" si="1"/>
        <v>319.94200000000001</v>
      </c>
    </row>
    <row r="82" spans="1:12" x14ac:dyDescent="0.25">
      <c r="A82" s="1">
        <v>143.43</v>
      </c>
      <c r="B82" s="1">
        <v>58</v>
      </c>
      <c r="C82" s="8">
        <f t="shared" si="1"/>
        <v>200.80199999999999</v>
      </c>
    </row>
    <row r="83" spans="1:12" ht="15.75" thickBot="1" x14ac:dyDescent="0.3">
      <c r="A83" s="1">
        <v>285.54000000000002</v>
      </c>
      <c r="B83" s="1">
        <v>358</v>
      </c>
      <c r="C83" s="8">
        <f t="shared" si="1"/>
        <v>399.75600000000003</v>
      </c>
    </row>
    <row r="84" spans="1:12" x14ac:dyDescent="0.25">
      <c r="A84" s="1">
        <v>152.91999999999999</v>
      </c>
      <c r="B84" s="1">
        <v>281</v>
      </c>
      <c r="C84" s="8">
        <f t="shared" si="1"/>
        <v>214.08799999999997</v>
      </c>
      <c r="E84" s="13"/>
      <c r="F84" s="13"/>
      <c r="G84" s="13"/>
      <c r="H84" s="13"/>
      <c r="I84" s="13"/>
      <c r="J84" s="13"/>
    </row>
    <row r="85" spans="1:12" x14ac:dyDescent="0.25">
      <c r="A85" s="1">
        <v>254.04361702127662</v>
      </c>
      <c r="B85" s="1">
        <v>159</v>
      </c>
      <c r="C85" s="8">
        <f t="shared" si="1"/>
        <v>355.66106382978722</v>
      </c>
    </row>
    <row r="86" spans="1:12" x14ac:dyDescent="0.25">
      <c r="A86" s="1">
        <v>388.46</v>
      </c>
      <c r="B86" s="1">
        <v>208</v>
      </c>
      <c r="C86" s="8">
        <f t="shared" si="1"/>
        <v>543.84399999999994</v>
      </c>
    </row>
    <row r="87" spans="1:12" x14ac:dyDescent="0.25">
      <c r="A87" s="1">
        <v>119.57</v>
      </c>
      <c r="B87" s="1">
        <v>210</v>
      </c>
      <c r="C87" s="8">
        <f t="shared" si="1"/>
        <v>167.39799999999997</v>
      </c>
      <c r="L87" s="14"/>
    </row>
    <row r="88" spans="1:12" x14ac:dyDescent="0.25">
      <c r="A88" s="1">
        <v>176.07</v>
      </c>
      <c r="B88" s="1">
        <v>82</v>
      </c>
      <c r="C88" s="8">
        <f t="shared" si="1"/>
        <v>246.49799999999996</v>
      </c>
    </row>
    <row r="89" spans="1:12" x14ac:dyDescent="0.25">
      <c r="A89" s="1">
        <v>371.38</v>
      </c>
      <c r="B89" s="1">
        <v>220</v>
      </c>
      <c r="C89" s="8">
        <f t="shared" si="1"/>
        <v>519.93200000000002</v>
      </c>
    </row>
    <row r="90" spans="1:12" x14ac:dyDescent="0.25">
      <c r="A90" s="1">
        <v>131.24</v>
      </c>
      <c r="B90" s="1">
        <v>232</v>
      </c>
      <c r="C90" s="8">
        <f t="shared" si="1"/>
        <v>183.73599999999999</v>
      </c>
    </row>
    <row r="91" spans="1:12" x14ac:dyDescent="0.25">
      <c r="A91" s="1">
        <v>183.04</v>
      </c>
      <c r="B91" s="1">
        <v>457</v>
      </c>
      <c r="C91" s="8">
        <f t="shared" si="1"/>
        <v>256.25599999999997</v>
      </c>
    </row>
    <row r="92" spans="1:12" x14ac:dyDescent="0.25">
      <c r="A92" s="1">
        <v>340.14</v>
      </c>
      <c r="B92" s="1">
        <v>361</v>
      </c>
      <c r="C92" s="8">
        <f t="shared" si="1"/>
        <v>476.19599999999997</v>
      </c>
    </row>
    <row r="93" spans="1:12" x14ac:dyDescent="0.25">
      <c r="A93" s="1">
        <v>438.25</v>
      </c>
      <c r="B93" s="1">
        <v>496</v>
      </c>
      <c r="C93" s="8">
        <f t="shared" si="1"/>
        <v>613.54999999999995</v>
      </c>
    </row>
    <row r="94" spans="1:12" x14ac:dyDescent="0.25">
      <c r="A94" s="1">
        <v>447.43</v>
      </c>
      <c r="B94" s="1">
        <v>191</v>
      </c>
      <c r="C94" s="8">
        <f t="shared" si="1"/>
        <v>626.40199999999993</v>
      </c>
    </row>
    <row r="95" spans="1:12" x14ac:dyDescent="0.25">
      <c r="A95" s="1">
        <v>377.52</v>
      </c>
      <c r="B95" s="1">
        <v>485</v>
      </c>
      <c r="C95" s="8">
        <f t="shared" si="1"/>
        <v>528.52799999999991</v>
      </c>
    </row>
    <row r="96" spans="1:12" x14ac:dyDescent="0.25">
      <c r="A96" s="1">
        <v>358.47</v>
      </c>
      <c r="B96" s="1">
        <v>213</v>
      </c>
      <c r="C96" s="8">
        <f t="shared" si="1"/>
        <v>501.858</v>
      </c>
    </row>
    <row r="97" spans="1:10" x14ac:dyDescent="0.25">
      <c r="A97" s="1">
        <v>60.65</v>
      </c>
      <c r="B97" s="1">
        <v>75</v>
      </c>
      <c r="C97" s="8">
        <f t="shared" si="1"/>
        <v>84.91</v>
      </c>
      <c r="E97" s="15"/>
      <c r="F97" s="15"/>
      <c r="H97" s="15"/>
      <c r="J97" s="15"/>
    </row>
    <row r="98" spans="1:10" ht="15.75" thickBot="1" x14ac:dyDescent="0.3">
      <c r="A98" s="1">
        <v>358.47</v>
      </c>
      <c r="B98" s="1">
        <v>143</v>
      </c>
      <c r="C98" s="8">
        <f t="shared" si="1"/>
        <v>501.858</v>
      </c>
      <c r="E98" s="16"/>
      <c r="F98" s="16"/>
      <c r="G98" s="16"/>
      <c r="H98" s="16"/>
      <c r="I98" s="16"/>
      <c r="J98" s="16"/>
    </row>
    <row r="99" spans="1:10" x14ac:dyDescent="0.25">
      <c r="A99" s="1">
        <v>245.98</v>
      </c>
      <c r="B99" s="1">
        <v>471</v>
      </c>
      <c r="C99" s="8">
        <f t="shared" si="1"/>
        <v>344.37199999999996</v>
      </c>
    </row>
    <row r="100" spans="1:10" x14ac:dyDescent="0.25">
      <c r="A100" s="1">
        <v>431.67</v>
      </c>
      <c r="B100" s="1">
        <v>73</v>
      </c>
      <c r="C100" s="8">
        <f t="shared" si="1"/>
        <v>604.33799999999997</v>
      </c>
    </row>
    <row r="101" spans="1:10" x14ac:dyDescent="0.25">
      <c r="A101" s="1">
        <v>201.41</v>
      </c>
      <c r="B101" s="1">
        <v>146</v>
      </c>
      <c r="C101" s="8">
        <f t="shared" si="1"/>
        <v>281.97399999999999</v>
      </c>
    </row>
  </sheetData>
  <conditionalFormatting sqref="A1:A1048576">
    <cfRule type="cellIs" dxfId="1" priority="2" operator="greaterThan">
      <formula>200</formula>
    </cfRule>
  </conditionalFormatting>
  <conditionalFormatting sqref="B1:B1048576">
    <cfRule type="top10" dxfId="0"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5F0F-B8C8-41A5-967E-3379B553A023}">
  <dimension ref="A1"/>
  <sheetViews>
    <sheetView tabSelected="1" workbookViewId="0">
      <selection sqref="A1:XFD1048576"/>
    </sheetView>
  </sheetViews>
  <sheetFormatPr defaultRowHeight="15" x14ac:dyDescent="0.25"/>
  <cols>
    <col min="1" max="16384" width="9.140625" style="2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cleaned dataset</vt:lpstr>
      <vt:lpstr>statstical meaure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2026-06-15T17:00:39Z</dcterms:created>
  <dcterms:modified xsi:type="dcterms:W3CDTF">2026-06-16T04:55:30Z</dcterms:modified>
</cp:coreProperties>
</file>